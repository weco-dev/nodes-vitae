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federico/Downloads/"/>
    </mc:Choice>
  </mc:AlternateContent>
  <xr:revisionPtr revIDLastSave="0" documentId="13_ncr:1_{46840C7E-DE6B-6449-9159-A52DC4C394CB}" xr6:coauthVersionLast="47" xr6:coauthVersionMax="47" xr10:uidLastSave="{00000000-0000-0000-0000-000000000000}"/>
  <bookViews>
    <workbookView xWindow="-4200" yWindow="-21100" windowWidth="38400" windowHeight="21100" xr2:uid="{00000000-000D-0000-FFFF-FFFF00000000}"/>
  </bookViews>
  <sheets>
    <sheet name="Complet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 l="1"/>
  <c r="B3" i="1"/>
  <c r="C93" i="1"/>
  <c r="B93" i="1"/>
  <c r="C92" i="1"/>
  <c r="B92" i="1"/>
  <c r="C91" i="1"/>
  <c r="B91" i="1"/>
  <c r="C90" i="1"/>
  <c r="B90" i="1"/>
  <c r="C89" i="1"/>
  <c r="B89" i="1"/>
  <c r="C88" i="1"/>
  <c r="B88" i="1"/>
  <c r="C87" i="1"/>
  <c r="B87" i="1"/>
  <c r="C86" i="1"/>
  <c r="B86" i="1"/>
  <c r="C85" i="1"/>
  <c r="B85" i="1"/>
  <c r="C84" i="1"/>
  <c r="B84" i="1"/>
  <c r="C83" i="1"/>
  <c r="B83" i="1"/>
  <c r="C82" i="1"/>
  <c r="B82" i="1"/>
  <c r="C81" i="1"/>
  <c r="B81" i="1"/>
  <c r="C80" i="1"/>
  <c r="B80" i="1"/>
  <c r="C79" i="1"/>
  <c r="B79" i="1"/>
  <c r="C78" i="1"/>
  <c r="B78" i="1"/>
  <c r="C77" i="1"/>
  <c r="B77" i="1"/>
  <c r="C76" i="1"/>
  <c r="B76" i="1"/>
  <c r="C75" i="1"/>
  <c r="B75" i="1"/>
  <c r="C74" i="1"/>
  <c r="B74" i="1"/>
  <c r="C73" i="1"/>
  <c r="B73" i="1"/>
  <c r="C72" i="1"/>
  <c r="B72" i="1"/>
  <c r="C71" i="1"/>
  <c r="B71" i="1"/>
  <c r="C70" i="1"/>
  <c r="B70" i="1"/>
  <c r="C69" i="1"/>
  <c r="B69" i="1"/>
  <c r="C68" i="1"/>
  <c r="B68" i="1"/>
  <c r="C67" i="1"/>
  <c r="B67" i="1"/>
  <c r="C66" i="1"/>
  <c r="B66" i="1"/>
  <c r="C65" i="1"/>
  <c r="B65" i="1"/>
  <c r="C64" i="1"/>
  <c r="B64" i="1"/>
  <c r="C63" i="1"/>
  <c r="B63" i="1"/>
  <c r="C62" i="1"/>
  <c r="B62" i="1"/>
  <c r="C61" i="1"/>
  <c r="B61" i="1"/>
  <c r="C60" i="1"/>
  <c r="B60" i="1"/>
  <c r="C59" i="1"/>
  <c r="B59" i="1"/>
  <c r="C58" i="1"/>
  <c r="B58" i="1"/>
  <c r="C57" i="1"/>
  <c r="B57" i="1"/>
  <c r="C56" i="1"/>
  <c r="B56" i="1"/>
  <c r="C55" i="1"/>
  <c r="B55" i="1"/>
  <c r="C54" i="1"/>
  <c r="B54" i="1"/>
  <c r="C53" i="1"/>
  <c r="B53" i="1"/>
  <c r="C52" i="1"/>
  <c r="B52" i="1"/>
  <c r="C51" i="1"/>
  <c r="B51" i="1"/>
  <c r="C50" i="1"/>
  <c r="B50" i="1"/>
  <c r="C49" i="1"/>
  <c r="B49" i="1"/>
  <c r="C48" i="1"/>
  <c r="B48" i="1"/>
  <c r="C47" i="1"/>
  <c r="B47" i="1"/>
  <c r="C46" i="1"/>
  <c r="B46" i="1"/>
  <c r="C45" i="1"/>
  <c r="B45" i="1"/>
  <c r="C44" i="1"/>
  <c r="B44" i="1"/>
  <c r="C43" i="1"/>
  <c r="B43" i="1"/>
  <c r="C42" i="1"/>
  <c r="B42" i="1"/>
  <c r="C41" i="1"/>
  <c r="B41" i="1"/>
  <c r="C40" i="1"/>
  <c r="B40" i="1"/>
  <c r="C39" i="1"/>
  <c r="B39" i="1"/>
  <c r="C38" i="1"/>
  <c r="B38" i="1"/>
  <c r="C37" i="1"/>
  <c r="B37" i="1"/>
  <c r="C36" i="1"/>
  <c r="B36" i="1"/>
  <c r="C35" i="1"/>
  <c r="B35" i="1"/>
  <c r="C34" i="1"/>
  <c r="B34" i="1"/>
  <c r="C33" i="1"/>
  <c r="B33" i="1"/>
  <c r="C32" i="1"/>
  <c r="B32" i="1"/>
  <c r="C31" i="1"/>
  <c r="B31" i="1"/>
  <c r="C30" i="1"/>
  <c r="B30" i="1"/>
  <c r="C29" i="1"/>
  <c r="B29" i="1"/>
  <c r="C28" i="1"/>
  <c r="B28" i="1"/>
  <c r="C27" i="1"/>
  <c r="B27" i="1"/>
  <c r="C26" i="1"/>
  <c r="B26" i="1"/>
  <c r="C25" i="1"/>
  <c r="B25" i="1"/>
  <c r="C24" i="1"/>
  <c r="B24" i="1"/>
  <c r="C23" i="1"/>
  <c r="B23" i="1"/>
  <c r="C22" i="1"/>
  <c r="B22" i="1"/>
  <c r="C21" i="1"/>
  <c r="B21" i="1"/>
  <c r="C20" i="1"/>
  <c r="B20" i="1"/>
  <c r="C19" i="1"/>
  <c r="B19" i="1"/>
  <c r="C18" i="1"/>
  <c r="B18" i="1"/>
  <c r="C17" i="1"/>
  <c r="B17" i="1"/>
  <c r="C16" i="1"/>
  <c r="B16" i="1"/>
  <c r="C15" i="1"/>
  <c r="B15" i="1"/>
  <c r="C14" i="1"/>
  <c r="B14" i="1"/>
  <c r="C13" i="1"/>
  <c r="B13" i="1"/>
  <c r="C12" i="1"/>
  <c r="B12" i="1"/>
  <c r="C11" i="1"/>
  <c r="B11" i="1"/>
  <c r="C10" i="1"/>
  <c r="B10" i="1"/>
  <c r="C9" i="1"/>
  <c r="B9" i="1"/>
  <c r="C8" i="1"/>
  <c r="B8" i="1"/>
  <c r="C7" i="1"/>
  <c r="B7" i="1"/>
  <c r="C6" i="1"/>
  <c r="B6" i="1"/>
  <c r="C5" i="1"/>
  <c r="B5" i="1"/>
  <c r="C4" i="1"/>
  <c r="B4" i="1"/>
  <c r="C2" i="1"/>
  <c r="B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4" authorId="0" shapeId="0" xr:uid="{00000000-0006-0000-0000-000003000000}">
      <text>
        <r>
          <rPr>
            <sz val="10"/>
            <color rgb="FF000000"/>
            <rFont val="Arial"/>
            <family val="2"/>
          </rPr>
          <t xml:space="preserve">Inserisci opzioni di risposta specifiche
</t>
        </r>
        <r>
          <rPr>
            <sz val="10"/>
            <color rgb="FF000000"/>
            <rFont val="Arial"/>
            <family val="2"/>
          </rPr>
          <t xml:space="preserve">	-Federico Piovesan</t>
        </r>
      </text>
    </comment>
    <comment ref="E6" authorId="0" shapeId="0" xr:uid="{00000000-0006-0000-0000-000005000000}">
      <text>
        <r>
          <rPr>
            <sz val="10"/>
            <color rgb="FF000000"/>
            <rFont val="Arial"/>
            <family val="2"/>
          </rPr>
          <t xml:space="preserve">domanda a scelta singola
</t>
        </r>
        <r>
          <rPr>
            <sz val="10"/>
            <color rgb="FF000000"/>
            <rFont val="Arial"/>
            <family val="2"/>
          </rPr>
          <t xml:space="preserve">	-Anna Claudia Cecconi
</t>
        </r>
        <r>
          <rPr>
            <sz val="10"/>
            <color rgb="FF000000"/>
            <rFont val="Arial"/>
            <family val="2"/>
          </rPr>
          <t xml:space="preserve">Inserisci opzioni di risposta specifiche
</t>
        </r>
        <r>
          <rPr>
            <sz val="10"/>
            <color rgb="FF000000"/>
            <rFont val="Arial"/>
            <family val="2"/>
          </rPr>
          <t xml:space="preserve">	-Federico Piovesan</t>
        </r>
      </text>
    </comment>
    <comment ref="E7" authorId="0" shapeId="0" xr:uid="{00000000-0006-0000-0000-000004000000}">
      <text>
        <r>
          <rPr>
            <sz val="10"/>
            <color rgb="FF000000"/>
            <rFont val="Arial"/>
            <family val="2"/>
            <scheme val="minor"/>
          </rPr>
          <t>anche qua metterei  scelta singola | Si / No / Talvolta
	-Anna Claudia Cecconi
Inserisci opzioni di risposta specifiche
	-Federico Piovesan</t>
        </r>
      </text>
    </comment>
    <comment ref="D9" authorId="0" shapeId="0" xr:uid="{00000000-0006-0000-0000-000001000000}">
      <text>
        <r>
          <rPr>
            <sz val="10"/>
            <color rgb="FF000000"/>
            <rFont val="Arial"/>
            <family val="2"/>
          </rPr>
          <t xml:space="preserve">in futuro: multiple choice
</t>
        </r>
        <r>
          <rPr>
            <sz val="10"/>
            <color rgb="FF000000"/>
            <rFont val="Arial"/>
            <family val="2"/>
          </rPr>
          <t xml:space="preserve">	-Federico Piovesan</t>
        </r>
      </text>
    </comment>
    <comment ref="E10" authorId="0" shapeId="0" xr:uid="{00000000-0006-0000-0000-000002000000}">
      <text>
        <r>
          <rPr>
            <sz val="10"/>
            <color rgb="FF000000"/>
            <rFont val="Arial"/>
            <family val="2"/>
            <scheme val="minor"/>
          </rPr>
          <t>LEGENDA FORMATTAZIONE
Grassetto  *ISUHFGOSHG*
Corsivo _xhbgijshg_
Punto elenco - jdhoh
Link [url
	-Anna Claudia Cecconi</t>
        </r>
      </text>
    </comment>
  </commentList>
</comments>
</file>

<file path=xl/sharedStrings.xml><?xml version="1.0" encoding="utf-8"?>
<sst xmlns="http://schemas.openxmlformats.org/spreadsheetml/2006/main" count="623" uniqueCount="389">
  <si>
    <t>index</t>
  </si>
  <si>
    <t>questionId</t>
  </si>
  <si>
    <t>name</t>
  </si>
  <si>
    <t>type</t>
  </si>
  <si>
    <t>title</t>
  </si>
  <si>
    <t>Risposta</t>
  </si>
  <si>
    <t>section</t>
  </si>
  <si>
    <t>Descrizione Sezione</t>
  </si>
  <si>
    <t>isRequired</t>
  </si>
  <si>
    <t>score</t>
  </si>
  <si>
    <t>help</t>
  </si>
  <si>
    <t>reporting</t>
  </si>
  <si>
    <t>docs</t>
  </si>
  <si>
    <t>ignore</t>
  </si>
  <si>
    <t>parentQuestionId</t>
  </si>
  <si>
    <t>subSection</t>
  </si>
  <si>
    <t>logicEntry</t>
  </si>
  <si>
    <t>logicExit</t>
  </si>
  <si>
    <t>Requisito</t>
  </si>
  <si>
    <t>Requisito Standard</t>
  </si>
  <si>
    <t>Riferimenti Normativi</t>
  </si>
  <si>
    <t>0.1</t>
  </si>
  <si>
    <t>text</t>
  </si>
  <si>
    <t>Inserisci la *Ragione sociale* della tua impresa:</t>
  </si>
  <si>
    <t>Anagrafica</t>
  </si>
  <si>
    <t>Anagrafica Impresa</t>
  </si>
  <si>
    <t>Inserisci la *Partita IVA* della tua impresa:</t>
  </si>
  <si>
    <t>radiogroup</t>
  </si>
  <si>
    <t>Indica la *forma giuridica* della tua impresa:</t>
  </si>
  <si>
    <t>Indica l'*indirizzo della sede legale*:</t>
  </si>
  <si>
    <t>Indicare il numero di *lavoratori dipendenti*:</t>
  </si>
  <si>
    <t>La tua impresa ricorre a società esterne per l'appalto della manodopera?</t>
  </si>
  <si>
    <t>Superficie agricola coltivata:</t>
  </si>
  <si>
    <t xml:space="preserve">Indica tutte le fasi della filiera svolte direttamente dall'impresa 
</t>
  </si>
  <si>
    <t>Per fasi della filiera si intende: 
- coltivazione
- produzione
- trasformazione
- commercializzazione</t>
  </si>
  <si>
    <t>1.1</t>
  </si>
  <si>
    <r>
      <rPr>
        <sz val="11"/>
        <color theme="1"/>
        <rFont val="Calibri"/>
        <family val="2"/>
      </rPr>
      <t>L'impresa ha formalizzato all'interno di un documento scritto e reso disponibile a tutte le parti interessate,</t>
    </r>
    <r>
      <rPr>
        <b/>
        <sz val="11"/>
        <color theme="1"/>
        <rFont val="Calibri"/>
        <family val="2"/>
      </rPr>
      <t xml:space="preserve"> </t>
    </r>
    <r>
      <rPr>
        <sz val="11"/>
        <color theme="1"/>
        <rFont val="Calibri"/>
        <family val="2"/>
      </rPr>
      <t xml:space="preserve">il proprio *impegno a rispettare i diritti umani* in coerenza con gli standard internazionali (Principi Guida Onu / Linee Guida OCSE)?
</t>
    </r>
  </si>
  <si>
    <t>I. Impegnarsi</t>
  </si>
  <si>
    <t>INTEGRARE LA CONDOTTA DI IMPRESA RESPONSABILE NELLE POLITICHE E NEI SISTEMI DI GESTIONE</t>
  </si>
  <si>
    <t xml:space="preserve">Il primo passo è impegnarsi pubblicamente a rispettare i diritti umani. Per fare questo occorre:
- sensibilizzare la direzione e il personale
- sviluppare e sottoscrivere un impegno al rispetto dei diritti umani
- assegnare le responsabilità ai membri rilevanti dell'alta dirigenza e del personale
- sensibilizzare il personale, i soci e i lavoratori agricoli 
</t>
  </si>
  <si>
    <t>[Allegato 1 | Condotta responsabile](../downloads/1-condotta-responsabile.pdf)</t>
  </si>
  <si>
    <r>
      <rPr>
        <i/>
        <sz val="10"/>
        <color rgb="FF000000"/>
        <rFont val="Nunito"/>
      </rPr>
      <t>(descrizione sezione)</t>
    </r>
    <r>
      <rPr>
        <b/>
        <i/>
        <sz val="10"/>
        <color rgb="FF000000"/>
        <rFont val="Nunito"/>
      </rPr>
      <t xml:space="preserve"> </t>
    </r>
    <r>
      <rPr>
        <b/>
        <sz val="10"/>
        <color rgb="FF000000"/>
        <rFont val="Nunito"/>
      </rPr>
      <t xml:space="preserve">
PRIMO STEP: IMPEGNARSI
</t>
    </r>
    <r>
      <rPr>
        <sz val="10"/>
        <color rgb="FF000000"/>
        <rFont val="Nunito"/>
      </rPr>
      <t>INTEGRARE LA CONDOTTA DI IMPRESA RESPONSABILE NELLE POLITICHE E NEI SISTEMI DI GESTIONE</t>
    </r>
  </si>
  <si>
    <t>L’impresa ha adottato un documento pubblico e scritto di impegno a rispettare i diritti umani in coerenza con gli standard internazionali di due diligence [Principi Guida ONU / Linee Guida OCSE]?</t>
  </si>
  <si>
    <r>
      <rPr>
        <sz val="10"/>
        <color rgb="FF000000"/>
        <rFont val="Nunito"/>
      </rPr>
      <t xml:space="preserve">Principi Guida ONU; </t>
    </r>
    <r>
      <rPr>
        <u/>
        <sz val="10"/>
        <color rgb="FF1155CC"/>
        <rFont val="Nunito"/>
      </rPr>
      <t>Linee Guida OCSE</t>
    </r>
    <r>
      <rPr>
        <sz val="10"/>
        <color rgb="FF000000"/>
        <rFont val="Nunito"/>
      </rPr>
      <t xml:space="preserve">; </t>
    </r>
    <r>
      <rPr>
        <u/>
        <sz val="10"/>
        <color rgb="FF1155CC"/>
        <rFont val="Nunito"/>
      </rPr>
      <t>Standard Fairtrade</t>
    </r>
  </si>
  <si>
    <t>1.2</t>
  </si>
  <si>
    <t>L'impresa ha definito, anche in modo semplice, dei principi *(policy)* e delle regole *(procedure)* che descrivano  l'impegno, gli obiettivi, le attività che intende portare avanti per una gestione responsabile della manodopera estesa anche ai propri fornitori / collaboratori?</t>
  </si>
  <si>
    <t>Una politica è un testo in cui un'organizzazione si pone un obiettivo e concorda principi generali e procedure per raggiungerlo. 
Le politiche sono utili, perché chiariscono gli obiettivi e guidano le decisioni e le attività successive, più dettagliate. 
Le politiche devono delineare le procedure, che forniscono istruzioni passo-passo per specifiche attività di routine.
Possono anche includere una lista di controllo o le fasi del processo da seguire.</t>
  </si>
  <si>
    <t>Requisito previsto dal report di sostenibilità Voluntary reporting standard for SMEs (VSME).
C6 par. 61 - l'impresa deve sviluppare un sistema di gestione che copra almeno i settori cruciali 
1. lavoro forzato 
2. lavoro minorile 
3. tratta di esseri umani 
4. discriminazione 
5. salute e sicurezza sul lavoro</t>
  </si>
  <si>
    <t>[Allegato 8a | Come scrivere una policy?](..downloads/8a-come-scrivere-policy.pdf)</t>
  </si>
  <si>
    <t>L’impresa ha incluso le politiche di condotta responsabile nel sistema di gestione per una filiera vitivinicola responsabile?</t>
  </si>
  <si>
    <t>Modello OCSE‑FAO p.25; Modello Fairtrade pag. 7</t>
  </si>
  <si>
    <t>1.3</t>
  </si>
  <si>
    <t>group</t>
  </si>
  <si>
    <t>Le policy e le procedure (del punto precedente) devono includere le principali tematiche in materia di diritti umani e gestione responsabile della manodopera quali: lavoro forzato, lavoro minorile, disuguaglianza e discriminazione, salute e sicurezza dei lavoratori, tratta di esseri umani. Dunque:</t>
  </si>
  <si>
    <t>L’impresa ha adottato policy e relativi piani di attuazione del dovere di diligenza che contengano impegni relativi a diritti specifici (lavoro forzato, minorile, tratta, discriminazione, salute e sicurezza)?</t>
  </si>
  <si>
    <t>Oxfam–Systembolaget; VSMEs C6 §61</t>
  </si>
  <si>
    <t>1.3.1</t>
  </si>
  <si>
    <r>
      <rPr>
        <sz val="11"/>
        <color theme="1"/>
        <rFont val="Calibri"/>
        <family val="2"/>
      </rPr>
      <t>L'impresa ha una politica e delle procedure per prevenire il lavoro forzato e per assicurarsi che lavoratrici e lavoratori *</t>
    </r>
    <r>
      <rPr>
        <b/>
        <sz val="11"/>
        <color theme="1"/>
        <rFont val="Calibri"/>
        <family val="2"/>
      </rPr>
      <t>siano reclutati e assunti in modo etico*</t>
    </r>
    <r>
      <rPr>
        <sz val="11"/>
        <color theme="1"/>
        <rFont val="Calibri"/>
        <family val="2"/>
      </rPr>
      <t>?</t>
    </r>
  </si>
  <si>
    <r>
      <rPr>
        <sz val="10"/>
        <color theme="1"/>
        <rFont val="Nunito"/>
      </rPr>
      <t>[Allegato 2 | Politica per il reclutamento e il lavoro etico](../downloads/2-policy-lavoro forzato.pdf)</t>
    </r>
    <r>
      <rPr>
        <u/>
        <sz val="10"/>
        <color rgb="FF1155CC"/>
        <rFont val="Nunito"/>
      </rPr>
      <t xml:space="preserve">
</t>
    </r>
    <r>
      <rPr>
        <sz val="10"/>
        <color theme="1"/>
        <rFont val="Nunito"/>
      </rPr>
      <t xml:space="preserve">
[Allegato 2a | Indicatori per lo sfruttamento lavorativo](../downloads/2a-indicatori-sfruttamento.pdf)</t>
    </r>
  </si>
  <si>
    <t>assessment-1.3</t>
  </si>
  <si>
    <t>3.1</t>
  </si>
  <si>
    <t xml:space="preserve">Sotto domande </t>
  </si>
  <si>
    <t>1.3.2</t>
  </si>
  <si>
    <r>
      <rPr>
        <sz val="11"/>
        <color theme="1"/>
        <rFont val="Calibri"/>
        <family val="2"/>
      </rPr>
      <t>L'impresa ha una politica e delle procedure per assicurarsi che non si faccia ricorso al *</t>
    </r>
    <r>
      <rPr>
        <b/>
        <sz val="11"/>
        <color theme="1"/>
        <rFont val="Calibri"/>
        <family val="2"/>
      </rPr>
      <t>lavoro minorile*</t>
    </r>
    <r>
      <rPr>
        <sz val="11"/>
        <color theme="1"/>
        <rFont val="Calibri"/>
        <family val="2"/>
      </rPr>
      <t>?</t>
    </r>
  </si>
  <si>
    <t>[Allegato 3 | Politica contro il lavoro minorile](../downloads/3-lavoro-minorile.pdf)</t>
  </si>
  <si>
    <t>3.2</t>
  </si>
  <si>
    <t>1.3.3</t>
  </si>
  <si>
    <r>
      <rPr>
        <sz val="11"/>
        <color theme="1"/>
        <rFont val="Calibri"/>
        <family val="2"/>
      </rPr>
      <t>L'impresa ha una politica e delle procedure per prevenire ogni forma di *</t>
    </r>
    <r>
      <rPr>
        <b/>
        <sz val="11"/>
        <color theme="1"/>
        <rFont val="Calibri"/>
        <family val="2"/>
      </rPr>
      <t>disuguaglianza e discriminazione*</t>
    </r>
    <r>
      <rPr>
        <sz val="11"/>
        <color theme="1"/>
        <rFont val="Calibri"/>
        <family val="2"/>
      </rPr>
      <t>?</t>
    </r>
  </si>
  <si>
    <t>[Allegato 4 | Politica contro le discriminazioni](../downloads/4-policy-discriminazioni.pdf)</t>
  </si>
  <si>
    <t>3.3</t>
  </si>
  <si>
    <t>1.3.4</t>
  </si>
  <si>
    <r>
      <rPr>
        <sz val="11"/>
        <color theme="1"/>
        <rFont val="Calibri"/>
        <family val="2"/>
      </rPr>
      <t>L'impresa ha una politica e delle procedure che sanciscano l’impegno a tutelare la *</t>
    </r>
    <r>
      <rPr>
        <b/>
        <sz val="11"/>
        <color theme="1"/>
        <rFont val="Calibri"/>
        <family val="2"/>
      </rPr>
      <t>salute e la sicurezza di lavoratori*</t>
    </r>
    <r>
      <rPr>
        <sz val="11"/>
        <color theme="1"/>
        <rFont val="Calibri"/>
        <family val="2"/>
      </rPr>
      <t>, visitatori, collaboratori e appaltatori?</t>
    </r>
  </si>
  <si>
    <t>[Allegato 5 | Politica sulla salute e sicurezza dei lavoratori](../downloads/5-policy-salute-sicurezza.pdf)</t>
  </si>
  <si>
    <t>3.4</t>
  </si>
  <si>
    <t>1.4.1</t>
  </si>
  <si>
    <t>I principi (policy) e le regole (procedure) sono state approvate dal titolare/responsabile legale dell'azienda?</t>
  </si>
  <si>
    <t>4.1</t>
  </si>
  <si>
    <t>Le policy sono state approvata a livello manageriale più alto?</t>
  </si>
  <si>
    <t>1.4.2</t>
  </si>
  <si>
    <t>C’è una persona/responsabile, in azienda, incaricata di controllare che le regole sul rispetto dei diritti umani siano seguite?</t>
  </si>
  <si>
    <t>4.2</t>
  </si>
  <si>
    <t>È stato identificato, all’interno dell’impresa, un soggetto responsabile per l’attuazione della policy e formalmente assegnata tale responsabilità?</t>
  </si>
  <si>
    <t>1.4.3</t>
  </si>
  <si>
    <t>Quando sono state scritte le regole sul rispetto dei diritti dei lavoratori e collaboratori, l'impresa ha coinvolto o ascoltato:
- esperti o consulenti del settore
- persone che lavorano per l'impresa (dipendenti, collaboratori, fornitori)
- sindacati o associazioni di tutela dei lavoratori</t>
  </si>
  <si>
    <t>4.3</t>
  </si>
  <si>
    <t>Le policy sono state redatte con il supporto di esperti interni ed esterni e con appropriate consultazioni degli stakeholders?</t>
  </si>
  <si>
    <t>1.4.4</t>
  </si>
  <si>
    <t>L'impresa ha previsto un modo per *aggiornare* le regole nel tempo, in base a nuovi rischi o cambiamenti delle normative o degli standard internazionali?</t>
  </si>
  <si>
    <t>4.4</t>
  </si>
  <si>
    <t>L'azienda prevede per il corpus documentale un meccanismo di revisione e adattamento su base regolare, alla luce della conoscenza dei rischi di filiera e dell’evoluzione degli standard internazionali?</t>
  </si>
  <si>
    <t>1.5.1</t>
  </si>
  <si>
    <t>L’impresa ha aderito a una *certificazione* o partecipa a progetti insieme ad altri attori della filiera (es. associazioni o iniziative/progetti territoriali o multi attore) per garantire buone condizioni di lavoro e rispetto dei diritti umani?</t>
  </si>
  <si>
    <t>Certificazioni</t>
  </si>
  <si>
    <t>5.1</t>
  </si>
  <si>
    <t>L’impresa ha definito un impegno ad aderire a standard di settore (e.g. schemi di certificazioni) o partecipa ad iniziative multistakeholder di settore?</t>
  </si>
  <si>
    <t>1.5.2</t>
  </si>
  <si>
    <t>L'impresa è già in possesso di una certificazione che includa dei requisiti sul rispetto dei diritti umani come ad esempio: 
- SA8000 
- ISO 26000 
- Fair Trade / Commercio equo e solidale
- Global GAP GRASP 
- Sedex/SMETA 
- Equalitas</t>
  </si>
  <si>
    <t>Requisito previsto dal report di sostenibilità Voluntary reporting standard for SMEs (VSME).
Sezione B1 punto 25 VSMEs – Comunicare se in possesso di certificazioni o label di sostenibilità con breve descrizione, indicare il soggetto che ha rilasciato la certificazione o l’etichetta, la data e la valutazione ottenuta</t>
  </si>
  <si>
    <t>5.2</t>
  </si>
  <si>
    <t>L’impresa è già in possesso di certificazioni o label di sostenibilità?
In particolare, indicare se l’impresa è in possesso delle certificazioni utilizzate nel settore vitivinicolo sul mercato europeo e particolarmente rispondenti ad aspetti di sostenibilità sociale [rif. Intertek, Sustainable Alcoholic and non-Alcoholic Beverages Certification Benchmark Study, 2023], quali:
- Equalitas
- Viva
- SA8000
- Altro: indicare
Se sì, indicare breve descrizione, il soggetto che ha rilasciato la certificazione o l’etichetta, la data e la valutazione ottenuta (Nota: cfr. sezione B1 punto 25 VSMEs)</t>
  </si>
  <si>
    <t>1.6.1</t>
  </si>
  <si>
    <t>L’impresa inserisce nei *contratti con i principali fornitori* (quelli con cui ha un rapporto consolidato e continuativo) un impegno chiaro sul rispetto dei diritti delle persone che lavorano?</t>
  </si>
  <si>
    <t>[Allegato 7 | Clausole per i contratti con i fornitori](../downloads/7-clausole-fornitori.pdf)</t>
  </si>
  <si>
    <t>Fornitori</t>
  </si>
  <si>
    <t>6.1</t>
  </si>
  <si>
    <t>L’impresa ha comunicato e integrato la sua policy di condotta responsabile nei contratti con i partner commerciali o in altri accordi scritti?</t>
  </si>
  <si>
    <t>Clausole EMCC</t>
  </si>
  <si>
    <t>1.6.2</t>
  </si>
  <si>
    <t>L’impresa ha spiegato ai propri fornitori e collaboratori cosa si aspetta da loro in termini di rispetto dei lavoratori e condizioni dignitose?</t>
  </si>
  <si>
    <t>6.2</t>
  </si>
  <si>
    <t>L’impresa ha definito e comunicato chiaramente a fornitori e altri partner commerciali le aspettative di condotta responsabile dell’impresa?</t>
  </si>
  <si>
    <t>1.6.3</t>
  </si>
  <si>
    <t>L’impresa sceglie i fornitori anche in base al modo in cui trattano i loro lavoratori?</t>
  </si>
  <si>
    <t>6.3</t>
  </si>
  <si>
    <t>L’impresa ha un processo di preselezione dei fornitori che tenga conto delle pratiche di condotta d’impresa responsabile di questi ultimi?</t>
  </si>
  <si>
    <t>1.6.4</t>
  </si>
  <si>
    <t>L’impresa ha un modo (anche semplice) per ricevere informazioni dai fornitori o dai collaboratori sul rispetto dei lavoratori?</t>
  </si>
  <si>
    <t>6.4</t>
  </si>
  <si>
    <t>L’impresa ha stabilito un processo che garantisca un flusso informativo costante con i propri partner commerciali?</t>
  </si>
  <si>
    <t>1.6.5</t>
  </si>
  <si>
    <t xml:space="preserve">L’impresa controlla, su base periodica, che i propri fornitori rispettino le regole che ha definito per garantire buone condizioni di lavoro?
</t>
  </si>
  <si>
    <t>6.5</t>
  </si>
  <si>
    <t>L’impresa ha creato un sistema di verifiche interne per rivedere periodicamente la compliance dei processi aziendali relativi alla catena di fornitura con le policy?</t>
  </si>
  <si>
    <t>2.1</t>
  </si>
  <si>
    <t>L’impresa ha raccolto in un documento o schema l’elenco di tutti i fornitori e collaboratori coinvolti nel processo produttivo, dalla vigna fino alla vendita?</t>
  </si>
  <si>
    <t>II. Valutare</t>
  </si>
  <si>
    <t>INDIVIDUARE E VALUTARE GLI IMPATTI NEGATIVI NELLA CATENA DEL VALORE</t>
  </si>
  <si>
    <r>
      <rPr>
        <i/>
        <sz val="10"/>
        <color rgb="FF000000"/>
        <rFont val="Nunito"/>
      </rPr>
      <t>(descrizione sezione)</t>
    </r>
    <r>
      <rPr>
        <sz val="10"/>
        <color rgb="FF000000"/>
        <rFont val="Nunito"/>
      </rPr>
      <t xml:space="preserve">
</t>
    </r>
    <r>
      <rPr>
        <b/>
        <sz val="10"/>
        <color rgb="FF000000"/>
        <rFont val="Nunito"/>
      </rPr>
      <t xml:space="preserve">SECONDO STEP: VALUTARE
</t>
    </r>
    <r>
      <rPr>
        <sz val="10"/>
        <color rgb="FF000000"/>
        <rFont val="Nunito"/>
      </rPr>
      <t>MAPPARE E VALUTARE LA CATENA DI FORNITURA</t>
    </r>
  </si>
  <si>
    <t>Mappare la catena di fornitura</t>
  </si>
  <si>
    <t>Linee guida OCSE</t>
  </si>
  <si>
    <t>2.1.2</t>
  </si>
  <si>
    <t>L’impresa ha fatto una *mappa dei propri processi e attività* (come raccolta, lavorazione, vendita) per capire in quali fasi lavora con soggetti esterni come clienti, fornitori o distributori?</t>
  </si>
  <si>
    <t>2.2</t>
  </si>
  <si>
    <t>L’impresa ha effettuato un’analisi per identificare le proprie attività e le relazioni con soggetti terzi (c.d. scoping)?</t>
  </si>
  <si>
    <t>2.1.3</t>
  </si>
  <si>
    <t>L’impresa ha mappato le proprie sedi operative e sa dove operano i suoi fornitori e collaboratori e ha raccolto le informazioni principali sulle loro sedi e attività?</t>
  </si>
  <si>
    <t>Nello standard Equalitas, ad esempio, richiedono di tenere appositi registri con i dati rilevanti per produttore agricolo: 
- nome del produttore
- identificazione del sito e indirizzo
- contatti del referente
- dati della produzione
- numero di lavoratori per genere
- lista delle pratiche di gestione del rischio
- vie di trasporto
- valutazioni del rischio effettuate</t>
  </si>
  <si>
    <t>L’impresa ha mappato le proprie sedi operative e quelle di tutti gli attori coinvolti nella catena di fornitura, identificandone i dati rilevanti?</t>
  </si>
  <si>
    <t>Equalitas: (Ad esempio tenendo appositi registri con i dati rilevanti per produttori agricoli: nome del produttore; identificazione del sito e indirizzo; contatti del referente; dati della produzione; numero di lavoratori per genere; lista delle pratiche di gestione del rischio; vie di trasporto; valutazioni del rischio effettuate).</t>
  </si>
  <si>
    <t>2.2.1</t>
  </si>
  <si>
    <t>L’impresa ha cominciato a raccogliere informazioni e analizzarle per capire *se le attività dei fornitori* possono comportare rischi per i diritti dei lavoratori (es. lavoro non tutelato, sfruttamento, sicurezza)?</t>
  </si>
  <si>
    <t>Per effettuare una valutazione del rischio si dovrebbero:
- mappare i rischi e i problemi legati ai diritti umani e all'ambiente nel vostro Paese e nel vostro settore di produzione
- identificare e valutare almeno tre sfide più importanti per le vostre operazioni
- identificare i gruppi di persone più vulnerabili</t>
  </si>
  <si>
    <t>Requisito previsto dal report di sostenibilità Voluntary reporting standard for SMEs (VSME). 
Punti 2.1‑2.8</t>
  </si>
  <si>
    <t>[Allegato 8b | Risk assessment e rischi di filiera](../downloads/8b-risk-assessment.pdf)</t>
  </si>
  <si>
    <t>Mappare e valutare il rischio di impatti negativi sui diritti umani nella catena di fornitura</t>
  </si>
  <si>
    <t>Valutare e mappare il rischio di impatti negativi sui diritti umani</t>
  </si>
  <si>
    <t>VSMEs</t>
  </si>
  <si>
    <t>2.2.2</t>
  </si>
  <si>
    <t>L’impresa ha considerato, nel valutare i possibili rischi per i diritti umani, elementi come *l’area geografica*, *il tipo di attività svolta/settore* e fattori specifici di rischio per ciascun fornitore o partner commerciale?</t>
  </si>
  <si>
    <t xml:space="preserve">IF S.2.2 = "SI" THEN </t>
  </si>
  <si>
    <t>IF S.2.2 = "NO" THEN -&gt; GO TO S.3.2</t>
  </si>
  <si>
    <t>Con riferimento alla mappatura della catena del valore, l’impresa ha avviato un processo di raccolta informazioni per l’identificazione dei rischi di impatti negativi sui diritti umani considerando area geografica, settore e fattori di rischio specifici per partner commerciali?</t>
  </si>
  <si>
    <t>2.2.3</t>
  </si>
  <si>
    <t>L’impresa ha *coinvolto*, nel valutare i rischi sui propri fornitori, anche *le persone potenzialmente più vulnerabili* (es. stagionali, migranti, donne, giovani), o le associazioni che li rappresentano?</t>
  </si>
  <si>
    <t>IF S.2.2 = "SI" THEN</t>
  </si>
  <si>
    <t>La valutazione del rischio include l’identificazione dei titolari dei diritti e delle parti interessate e il loro coinvolgimento, con particolare riferimento alle categorie vulnerabili per il settore vitivinicolo (donne, migranti, stagionali, minori) e relative associazioni di riferimento attive sul territorio?</t>
  </si>
  <si>
    <t>2.2.4.1</t>
  </si>
  <si>
    <t>L’impresa ha identificato dei *segnali d’allarme* (“red flags”) per evidenziare attività o situazioni aziendali che possono nascondere problemi o rischi per i lavoratori?</t>
  </si>
  <si>
    <t>L’identificazione delle “red flags” può derivare da diversi tipi di valutazione del rischio. 
_Ad esempio:
- *red flags geografiche*: aree di conflitto o di governi instabili; aree in cui ci sono forme di sfruttamento riportate; aree in cui sono contestati i diritti proprietari sulla terra; aree in cui vi è carenza di cibo o acqua
- *red flags relative a prodotti specifici*: produzioni agricole notoriamente connesse a impatti negativi sui diritti umani
- *red flags relative a partner commerciali/fornitori*: storico di inosservanza delle pratiche di condotta d’impresa responsabile (ad esempio segnalazioni di pratiche commerciali sleali in agricoltura ai sensi della Direttiva 633/2019 recepite in Italia nel D.L. 198/2021 o politiche dei prezzi insufficienti a coprire i costi di produzione); pratiche di fornitura da aree a rischio negli ultimi 12 mesi; partecipazioni o quote in imprese che non rispettano gli standard di condotta d’impresa responsabile._</t>
  </si>
  <si>
    <t xml:space="preserve">IF S.2.2 = "SI" THE
</t>
  </si>
  <si>
    <t>2.3</t>
  </si>
  <si>
    <t>La procedura di valutazione del rischio include le “red flags” e vi associa una due diligence rafforzata? (e.g. con verifiche sul campo)</t>
  </si>
  <si>
    <t>2.2.4.2</t>
  </si>
  <si>
    <t xml:space="preserve">Per ogni segnale d’allarme individuato, l’impresa ha previsto un’analisi più approfondita, ad esempio attraverso controlli sul campo o raccolta diretta di informazioni?
</t>
  </si>
  <si>
    <t>_Ad esempio: ha verificato, anche intervistando i lavoratori, che il fornitore di manodopera paghi salari equi e con regolarità?_</t>
  </si>
  <si>
    <t>IF S.2.2.3 = "SI" THEN</t>
  </si>
  <si>
    <t>2.2.5</t>
  </si>
  <si>
    <t>L’impresa ha stabilito (anche per iscritto) che la valutazione dei rischi venga *aggiornata periodicamente* e ogni qualvolta cambi qualcosa di rilevante (nuovi prodotti, nuovi mercati, nuovi partner)?</t>
  </si>
  <si>
    <t>2.4</t>
  </si>
  <si>
    <t>La procedura di valutazione del rischio viene aggiornata e ripetuta periodicamente e, in ogni caso, ogni qualvolta l’impresa sviluppi nuove linee di prodotto o cambi metodi di immissione del prodotto sul mercato o intrattenga nuove relazioni commerciali?</t>
  </si>
  <si>
    <t>2.2.6</t>
  </si>
  <si>
    <t xml:space="preserve">L’impresa ha previsto una *scala di priorità* per i rischi, in modo da dare più attenzione a quelli più gravi o più probabili?
</t>
  </si>
  <si>
    <t>2.5</t>
  </si>
  <si>
    <t>La procedura prevede una scala di prioritizzazione dei rischi di impatti negativi riscontrati sulla base della gravità e della probabilità?</t>
  </si>
  <si>
    <t>2.2.7</t>
  </si>
  <si>
    <t>Nella valutazione del rischio l'impresa tiene conto delle *attività agricole*, aggiornandole in base alle circostanze attuali?</t>
  </si>
  <si>
    <t>L'impresa può attivare dei sistemi di raccolta delle informazioni che monitorino le attività agricole e riportino osservazioni legate alla gestione dei lavoratori e a circostanze ambientali.
_Ad esempio: far compilare al responsabile di campo una scheda di controllo con informazioni su:
- condizioni climatiche
- trattamenti agronomici
- attività svolte in campo nella giornata
- turni di lavoro e orari
- dotazioni di sicurezza (guanti, scarpe antinfortunistiche, ecc.)
- presenza di lavoratori nuovi o vulnerabili (es. minorenni, migranti non ancora formati)_
Se i dati vengono conservati su un file condiviso e aggiornati durante tutta la stagione di raccolta in caso di anomalie il titolare attiva una verifica interna o un colloquio con i lavoratori.
*Grazie a questo sistema, l’azienda riesce a prevenire criticità, rispondere in modo tempestivo a situazioni di rischio* (orari eccessivi o condizioni non sicure ecc.), e tenere traccia delle condizioni reali di lavoro, dimostrando attenzione alla tutela dei diritti.</t>
  </si>
  <si>
    <t>2.6</t>
  </si>
  <si>
    <t>La valutazione del rischio è effettuata attraverso un sistema di raccolta informazioni sul campo in grado di generare, raccogliere e aggiornare dati sulle circostanze della produzione agricola? (N.b. per imprese produttrici dirette)</t>
  </si>
  <si>
    <t>2.2.8</t>
  </si>
  <si>
    <t>Nel valutare i rischi, l’impresa distingue se un problema dipende direttamente dalle sue attività, se contribuisce al problema insieme ad altri, o se riguarda un fornitore o un collaboratore?</t>
  </si>
  <si>
    <t>L'impresa potrebbe avere gradi di coinvolgimento diversi: 
- *Essere direttamente responsabile* quando causa direttamente il rischio o la violazione.
_Ad esempio: l'impresa ha assunto direttamente dei lavoratori stagionali senza contratto, oppure non garantisce loro pause, acqua potabile o accesso ai servizi._
- *Contribuire al rischio o alla violazione* se il comportamento dell'impresa rende possibile o facilita l’abuso, anche se non è l’unica responsabile.
_Ad esempio: l'impresa si affida a un intermediario per trovare manodopera, senza controllare come vengono trattati o retribuiti i lavoratori. Anche se non è causa diretta, il suo modo di operare contribuisce a una situazione di sfruttamento._
- *Avere un legame diretto con un soggetto che causa una violazione*, anche se non ha contribuito attivamente.
_Ad esempio: l'impresa acquista cassette o contenitori da un fornitore che impiega lavoratori in condizioni di sfruttamento. Non è direttamente coinvolta nella violazione, ma il suo legame commerciale con il fornitore la rende comunque responsabile di verificare e prevenire il rischio._
*NB:* l’impresa dovrebbe adottare misure ragionevoli per individuare e gestire i rischi nella propria catena del valore, anche se non è direttamente responsabile della violazione.</t>
  </si>
  <si>
    <t>2.7</t>
  </si>
  <si>
    <t>La valutazione del rischio distingue i diversi livelli di coinvolgimento dell’impresa (causa-contributo-collegamento diretto) funzionali alla definizione delle risposte adeguate rispetto al rischio riscontrato?</t>
  </si>
  <si>
    <t>2.2.9</t>
  </si>
  <si>
    <t xml:space="preserve">L’impresa raccoglie informazioni sui rischi delle attività dei partner commerciali attraverso una o più di queste modalità:
- direttamente (con visite o controlli in azienda)
- indirettamente (verificando certificazioni o documenti)
- con il supporto di altri soggetti, come fornitori o intermediari
</t>
  </si>
  <si>
    <t>2.8</t>
  </si>
  <si>
    <t>Viene effettuata una raccolta di informazioni sui rischi della filiera oltre il c.d. tier one, attraverso una valutazione dei rischi dei partner commerciali diretta (on farm) o indiretta (schemi di certificazione, due diligence dei partner commerciali), anche attraverso la collaborazione con attori intermedi e “punti di controllo” della catena di fornitura?</t>
  </si>
  <si>
    <t>Studio Oxfam‑Systembolaget: rischi lavoro forzato, paghe basse, ecc.</t>
  </si>
  <si>
    <t>L’impresa ha un modo veloce di comunicare i risultati (frutto della valutazione sui rischi) in modo da attivare dei rimedi in modo tempestivo?</t>
  </si>
  <si>
    <t>III. Agire</t>
  </si>
  <si>
    <t>CESSARE, PREVENIRE E MITIGARE GLI IMPATTI NEGATIVI</t>
  </si>
  <si>
    <r>
      <rPr>
        <i/>
        <sz val="10"/>
        <color rgb="FF000000"/>
        <rFont val="Nunito"/>
      </rPr>
      <t>(descrizione sezione)</t>
    </r>
    <r>
      <rPr>
        <sz val="10"/>
        <color rgb="FF000000"/>
        <rFont val="Nunito"/>
      </rPr>
      <t xml:space="preserve">
</t>
    </r>
    <r>
      <rPr>
        <b/>
        <sz val="10"/>
        <color rgb="FF000000"/>
        <rFont val="Nunito"/>
      </rPr>
      <t xml:space="preserve">TERZO STEP: AGIRE
</t>
    </r>
    <r>
      <rPr>
        <sz val="10"/>
        <color rgb="FF000000"/>
        <rFont val="Nunito"/>
      </rPr>
      <t>PREVENIRE E MITIGARE GLI IMPATTI NEGATIVI POTENZIALI E RESIDUI</t>
    </r>
  </si>
  <si>
    <t>L’impresa ha un sistema di comunicazione efficace e tempestivo dei risultati della valutazione dei rischi alle funzioni designate, al fine di attuare le misure di cessazione, prevenzione e mitigazione dei rischi?</t>
  </si>
  <si>
    <t>L’impresa ha deciso chi, tra i responsabili o soci, si occupa di intervenire per evitare problemi legati ai diritti umani?</t>
  </si>
  <si>
    <t>_Ad esempio: c'è qualcuno responsabile di controllare turni di lavoro eccessivi, pagamenti irregolari, mancanza di sicurezza ecc._</t>
  </si>
  <si>
    <t>Le funzioni responsabili sono state identificate a livello di vertici d’impresa?</t>
  </si>
  <si>
    <t>L’impresa ha preparato un piano per prevenire o ridurre problemi futuri sui diritti dei lavoratori in base al suo grado di coinvolgimento?</t>
  </si>
  <si>
    <t>I diversi livelli di coinvolgimento dell’impresa  includono la causa, il contributo o il collegamento diretto:
*Cosa succede se:*
- *se* l’impresa *causa* la violazione, *allora* dovrà cessare e rimediare all’impatto negativo causato
- *se* l’impresa *contribuisce* alla violazione *allora* dovrà cessare e rimediare l’impatto negativo e/o utilizzare le leve che ha disposizione (leverage) nei confronti del soggetto terzo che ha co-causato l’impatto negativo
- se l’impresa non ha né causato né contribuito all’impatto negativo, ma vi è direttamente *collegata* in virtù dei propri prodotti, servizi o operazioni, *allora* dovrà utilizzare il _leverage_ nei confronti del soggetto che causa la violazione al fine della cessazione del comportamento lesivo; in mancanza, incrementare detto leverage e, in ultima istanza, interrompere la relazione commerciale</t>
  </si>
  <si>
    <t>IF S.2.2 = "NO" THEN -&gt; GO TO S.4.1</t>
  </si>
  <si>
    <t>L’impresa ha adottato un piano di prevenzione e mitigazione dei rischi futuri e potenziali basato sul livello di coinvolgimento identificato (causa – contributo – collegamento diretto)?</t>
  </si>
  <si>
    <t>3.4.1</t>
  </si>
  <si>
    <t xml:space="preserve">L’impresa tiene un registro con i dati principali di chi lavora, inclusi stagionali e lavoratori esterni e/o in subbalto, dove annota almeno: 
- nome 
- genere 
- età 
- nazionalità 
- inizio e fine rapporto
- tipo di rapporto di lavoro
- compenso (giornaliero/mensile)
- giornate lavorate
</t>
  </si>
  <si>
    <t>L’impresa dovrebbe verificare che i dati dei lavoratori siano corretti confrontando i documenti originali e controllando che la persona corrisponda ai documenti presentati.</t>
  </si>
  <si>
    <t>Reclutamento responsabile</t>
  </si>
  <si>
    <t>L’impresa ha un sistema di registrazione dei lavoratori impiegati, inclusi i lavoratori stagionali, occasionali e in subappalto, che indichi: nome, genere, età, nazionalità (con documenti presentati in originale e verificando la corrispondenza tra il lavoratore e il documento presentato), inizio e fine rapporto, tipo di rapporto di lavoro, compenso (giornaliero/mensile), giornate lavorate?</t>
  </si>
  <si>
    <t>3.4.2</t>
  </si>
  <si>
    <t xml:space="preserve">L’impresa fa un controllo iniziale sui fornitori di manodopera per assicurarsi che siano in regola, abbiano le autorizzazioni allo svolgimento delle attività e non abbiano procedimenti aperti? </t>
  </si>
  <si>
    <t>L'impresa dovrebbe, inoltre, tenere traccia delle verifiche effettuate.</t>
  </si>
  <si>
    <t>L’impresa ha un sistema di verifiche preliminari e selezione dei soggetti terzi coinvolti nel reclutamento/fornitura di manodopera?
_Ad esempio inclusivo di un registro di tali enti e una verifica delle condizioni di operatività (autorizzazione allo svolgimento dell’attività, procedimenti pendenti, politiche dell’impresa ecc.)._</t>
  </si>
  <si>
    <t>3.4.3</t>
  </si>
  <si>
    <t xml:space="preserve">L’impresa ha un metodo per assegnare ruoli e incarichi basato sulle competenze e pari opportunità, e si impegna a formare i lavoratori per crescere nel lavoro?
</t>
  </si>
  <si>
    <t>Non Discriminazione</t>
  </si>
  <si>
    <t>5.4</t>
  </si>
  <si>
    <t>L’impresa ha un sistema di reclutamento, attribuzione degli incarichi e delle mansioni, formazione e avanzamento dei lavoratori basato sulle pari opportunità, che tenga in considerazione qualifiche, abilità ed esperienze del singolo?</t>
  </si>
  <si>
    <t>3.4.4</t>
  </si>
  <si>
    <t xml:space="preserve">L’impresa tiene traccia dei motivi per cui assume, promuove o interrompe un contratto di lavoro?
</t>
  </si>
  <si>
    <t>5.5</t>
  </si>
  <si>
    <t>L’impresa è dotata di un registro che tenga traccia e dimostri le ragioni di reclutamento, licenziamento e promozione dei lavoratori?</t>
  </si>
  <si>
    <t>3.4.5</t>
  </si>
  <si>
    <t>L’impresa ha messo in piedi un sistema per permettere ai lavoratori di segnalare problemi legati a discriminazioni o molestie di genere, con garanzie per chi segnala?</t>
  </si>
  <si>
    <t>5.6</t>
  </si>
  <si>
    <t>L’impresa ha un sistema di vigilanza e segnalazione sulle questioni di genere con appropriato sistema di protezione per le segnalazioni in materia di discriminazioni di genere?</t>
  </si>
  <si>
    <t>3.5.1</t>
  </si>
  <si>
    <t xml:space="preserve">L’impresa ha un metodo per assicurarsi che nessun minorenne sotto i 16 anni venga assunto?
</t>
  </si>
  <si>
    <t>L'impresa dovrebbe tenere un registro con informazioni come età, genere e nazionalità di tutti i lavoratori, controllare che i documenti anagrafici dei lavoratori siano autentici e che corrispondano effettivamente alla persona assunta.</t>
  </si>
  <si>
    <t>Lavoro minorile</t>
  </si>
  <si>
    <t>5.7</t>
  </si>
  <si>
    <t>L’impresa ha adottato e attuato una procedura per assicurarsi di rispettare l’età minima per l’assunzione di lavoratori, inclusa la predisposizione e il mantenimento di registri che indichino l’età, il genere, i documenti, lo status e altri dati rilevanti del lavoratore?
Ad esempio, procurandosi documenti di identità o altri documenti utili per accertare l’età del lavoratore e assicurandosi che il lavoratore corrisponda al documento fornito.</t>
  </si>
  <si>
    <t>3.5.2</t>
  </si>
  <si>
    <t>Se impiega ragazzi tra i 16 e i 18 anni, l’impresa si assicura che non svolgano mansioni pericolose o che interferiscano con la loro salute o scuola?</t>
  </si>
  <si>
    <t>Esempi di lavoro pericoloso includono: 
- maneggiare e applicare sostanze chimiche, pesticidi e insetticidi
- lavoro agricolo a temperature o in luoghi pericolosi per la salute
- utilizzo di macchinari e attrezzi pericolosi
- maneggiare o gestire rifiuti pericolosi</t>
  </si>
  <si>
    <t>5.8</t>
  </si>
  <si>
    <t>In caso di impiego di minori (età 16-18) l’impresa si assicura di non destinare tali lavoratori a mansioni che, per la natura o per le circostanze, siano in grado di mettere in pericolo la salute, la sicurezza e lo sviluppo fisico e mentale del minore e la frequenza scolastica dello stesso?
Esempi di lavoro pericoloso includono: maneggiare e applicare sostanze chimiche, pesticidi e insetticidi; lavoro agricolo a temperature o in luoghi pericolosi per la salute; utilizzo di macchinari e attrezzi pericolosi; maneggiare o gestire rifiuti pericolosi.</t>
  </si>
  <si>
    <t>3.6.1</t>
  </si>
  <si>
    <t>L’impresa evita di trattenere documenti o compensi o beni dei lavoratori e garantisce che possano interrompere il contratto senza vincoli ingiusti?</t>
  </si>
  <si>
    <t>Lavoro Forzato e Sfruttamento lavorativo</t>
  </si>
  <si>
    <t>5.9</t>
  </si>
  <si>
    <t>L’impresa evita di trattenere parte del compenso dei lavoratori, o beni e documenti di questi ultimi, al fine di forzare la permanenza dello stesso nel rapporto lavorativo e garantisce la possibilità di risolvere il contratto di lavoro, non imponendo termini irragionevoli di preavviso?</t>
  </si>
  <si>
    <t>3.6.2</t>
  </si>
  <si>
    <t>L’impresa adotta misure per evitare lo sfruttamento lavorativo, come previsto dal Codice Penale (articolo 603 bis)?</t>
  </si>
  <si>
    <t>*Cosa prevede l’articolo 603-bis del Codice Penale?*
La legge italiana vieta severamente qualsiasi forma di sfruttamento lavorativo. 
*Un’azienda agricola può essere ritenuta responsabile se:*
- i lavoratori sono pagati molto meno di quanto previsto dal contratto nazionale, oppure il salario è sproporzionato rispetto al lavoro svolto
- non vengono rispettati i diritti sul lavoro, come pause, giorni di riposo, ferie, permessi
- le condizioni di sicurezza sono assenti o inadeguate, mettendo a rischio la salute o la sicurezza dei lavoratori 
- i lavoratori vivono o lavorano in condizioni degradanti o umilianti.
*Inoltre, le pene previste aumentano se:*
- i lavoratori sfruttati sono più di tre
- sono coinvolti minorenni
- i lavoratori sono messi in situazioni di grave pericolo.
*Attenzione: chi viene condannato per sfruttamento può subire sanzioni molto gravi:*
- perdita della possibilità di ricevere fondi pubblici o europei (fino a 5 anni)
- divieto di partecipare ad appalti pubblici
- interdizione da ruoli di responsabilità in azienda</t>
  </si>
  <si>
    <t xml:space="preserve">L’impresa previene ed evita condotte riconducibili agli indicatori di sfruttamento lavorativo previsti dall’articolo 603 bis del codice penale? </t>
  </si>
  <si>
    <t>Art. 603-bis del Codice Penale</t>
  </si>
  <si>
    <t>3.6.3</t>
  </si>
  <si>
    <t>L’impresa si assicura che anche gli *intermediari e gli appaltatori* applichino le stesse misure (ovvero che non venga trattenuta parte del compenso dei lavoratori, o beni e documenti di questi ultimi, al fine di forzare la permanenza dei lavoratori nel rapporto lavorativo e garantire la possibilità di risolvere il contratto di lavoro, non imponendo termini irragionevoli di preavviso)?</t>
  </si>
  <si>
    <t>L’impresa si assicura che tali standard siano rispettati dai fornitori di manodopera?</t>
  </si>
  <si>
    <t>3.6.4</t>
  </si>
  <si>
    <t>L’impresa paga i lavoratori seguendo il *CCNL* applicabile?
Se non applica un CCNL, si assicura che i compensi siano comunque *equi e sufficienti* a coprire i bisogni dei lavoratori e delle loro famiglie?</t>
  </si>
  <si>
    <t>L’impresa osserva gli standard previsti dal CCNL applicabile? In mancanza di CCNL applicabile, gli standard di lavoro applicati sono almeno comparabili e sufficienti per assicurare al lavoratore il soddisfacimento dei bisogni propri e della propria famiglia?</t>
  </si>
  <si>
    <t>3.6.5</t>
  </si>
  <si>
    <t>L’impresa si assicura che anche gli intermediari e gli appaltatori (o altri fornitori rilevanti) siano pagati abbastanza per coprire i costi del lavoro e avere un margine equo?</t>
  </si>
  <si>
    <t>L’impresa si assicura che i compensi corrisposti agli appaltatori, agli intermediari per la fornitura di manodopera e ad altri attori della filiera rilevanti siano sufficienti per
coprire i costi di produzione (inclusivo del costo del lavoro e di un ragionevole margine di profitto)?</t>
  </si>
  <si>
    <t>3.6.6</t>
  </si>
  <si>
    <t xml:space="preserve">L’impresa paga i lavoratori con regolarità e tiene registri sulle ore lavorate e sui compensi corrisposti?
</t>
  </si>
  <si>
    <t>L’impresa corrisponde i compensi a intervalli regolari e ne garantisce la tracciabilità attraverso un sistema di registri delle ore di lavoro svolte da ciascun lavoratore impiegato e del compenso corrisposto?</t>
  </si>
  <si>
    <t>3.6.7</t>
  </si>
  <si>
    <t xml:space="preserve">L’impresa firma un contratto scritto con ogni lavoratore chiaro su diritti, doveri, orari e compenso?
</t>
  </si>
  <si>
    <t>L’impresa sigla un contratto per iscritto legalmente vincolante con tutti i lavoratori e si assicura che i lavoratori siano consapevoli dei propri diritti, doveri, mansioni,
compensi e orari di lavoro quali parti integranti del contratto di lavoro, di cui fornisce copia firmata al lavoratore in lingua comprensibile?</t>
  </si>
  <si>
    <t>3.6.8</t>
  </si>
  <si>
    <t>IF a) = "SI" THEN | IF a) = "NO" go to 
Fornisce una copia firmata del contratto in una lingua che il lavoratore comprende?</t>
  </si>
  <si>
    <t xml:space="preserve">IF a) = "SI" THEN | IF a) = "NO" go to </t>
  </si>
  <si>
    <t>3.7.1</t>
  </si>
  <si>
    <t>L’impresa comunica con i rappresentanti dei lavoratori in caso di cambiamenti importanti che possono avere impatti sull’occupazione (es. chiusura di uno stabilimento, interruzione delle attività in campo)?</t>
  </si>
  <si>
    <t>Libertà di associazione e contrattazione collettiva</t>
  </si>
  <si>
    <t>L’impresa comunica tempestivamente con i rappresentanti dei lavoratori in caso di operazioni che possono avere effetti importanti sull’impiego dei lavoratori?
Ad esempio, in caso di ristrutturazioni o chiusure di stabilimenti, l’impresa adotta e attua una procedura di collaborazione con sindacati e gruppi rappresentativi al fine
della mitigazione dei potenziali effetti negativi sui lavoratori?</t>
  </si>
  <si>
    <t>3.7.2</t>
  </si>
  <si>
    <t xml:space="preserve">L’impresa consulta in modo regolare i lavoratori e/o i loro rappresentanti?
</t>
  </si>
  <si>
    <t>L’impresa ha un sistema di consultazione e cooperazione regolare con i lavoratori e i loro rappresentanti?</t>
  </si>
  <si>
    <t>3.7.3</t>
  </si>
  <si>
    <t xml:space="preserve">L’impresa condivide con i lavoratori informazioni utili per facilitare buone relazioni e negoziazioni interne?
</t>
  </si>
  <si>
    <t>L’impresa comunica regolarmente informazioni utili a favorire le relazioni e negoziazioni tra le parti sociali?</t>
  </si>
  <si>
    <t>3.7.4</t>
  </si>
  <si>
    <t xml:space="preserve">L’impresa tiene traccia del motivo per cui un contratto è stato chiuso e se il lavoratore era iscritto a un sindacato?
</t>
  </si>
  <si>
    <t>L’impresa ha adottato un sistema di registrazione delle risoluzioni dei contratti di lavoro che include le ragioni della risoluzione del rapporto e che indica se il
lavoratore è membro di associazione sindacale?</t>
  </si>
  <si>
    <t>3.8.1</t>
  </si>
  <si>
    <t>L’impresa garantisce ai propri dipendenti la formazione per svolgere bene il loro lavoro e per crescere professionalmente?</t>
  </si>
  <si>
    <t>Formazione dei lavoratori</t>
  </si>
  <si>
    <t>L’impresa si impegna ad assicurare la formazione dei dipendenti a tutti i livelli necessaria allo svolgimento dei compiti del lavoratore e per promuovere opportunità di carriera? (formazione dei lavoratori)</t>
  </si>
  <si>
    <t>3.8.2</t>
  </si>
  <si>
    <t>L’impresa promuove la formazione di giovani e donne per facilitarne l’accesso al lavoro o all’imprenditorialità?</t>
  </si>
  <si>
    <t>L’impresa si impegna a favorire la formazione di giovani e donne in modo da aumentare le possibilità di accesso a un lavoro dignitoso e da promuovere l’imprenditoria giovanile e femminile?</t>
  </si>
  <si>
    <t>3.8.3</t>
  </si>
  <si>
    <t>L’impresa ha un piano di formazione/informazione continua sui diritti e i doveri dei lavoratori, svolto durante l’orario di lavoro retribuito?</t>
  </si>
  <si>
    <t>L’impresa ha un piano di formazione e informazione continua dei lavoratori in merito ai propri diritti e doveri, svolto durante l’orario di lavoro retribuito?</t>
  </si>
  <si>
    <t>3.9.1</t>
  </si>
  <si>
    <t xml:space="preserve">L’impresa ha adottato misure per proteggere i lavoratori da sostanze chimiche pericolose?
</t>
  </si>
  <si>
    <t>Salute e sicurezza dei lavoratori</t>
  </si>
  <si>
    <t>L’impresa ha adottato tutte le misure necessarie per prevenire e mitigare il rischio di esposizione dei lavoratori a sostanze tossiche?</t>
  </si>
  <si>
    <t>3.9.2</t>
  </si>
  <si>
    <t xml:space="preserve">L’impresa garantisce un uso sicuro di macchinari e attrezzature?
</t>
  </si>
  <si>
    <t>L’impresa ha adottato tutte le misure necessarie per assicurare il corretto uso dei macchinari e delle attrezzature da lavoro da parte dei lavoratori?</t>
  </si>
  <si>
    <t>3.9.3</t>
  </si>
  <si>
    <t xml:space="preserve">L’impresa fornisce i dispositivi di protezione personale (DPI) e verifica che vengano usati correttamente dai lavoratori propri/e e da quelli che operano all'interno della proprietà aziendale?
</t>
  </si>
  <si>
    <t>L’impresa ha fornito ai lavoratori tutti i dispositivi di protezione necessari e si assicura che tutti i lavoratori propri e nella filiera indossino dispositivi di protezione personale appropriati durante l’utilizzo di sostanze tossiche o macchinari/attrezzi pericolosi?</t>
  </si>
  <si>
    <t>3.9.4</t>
  </si>
  <si>
    <t xml:space="preserve">L’impresa ha formato i lavoratori che usano sostanze o attrezzature pericolose, assicurandosi che anche chi non parla bene italiano capisca bene i rischi e le istruzioni?
</t>
  </si>
  <si>
    <t>In particolare, la formazione include indicazioni su come stoccare in maniera appropriata pesticidi e sostanze chimiche, come comprendere le etichette e istruzioni di prodotto, come gestire gli incidenti, come smaltire i contenitori vuoti, eventuali intervalli nell’utilizzo delle sostanze chimiche, attraverso istruzioni chiare, illustrate e visibili sul luogo di lavoro.</t>
  </si>
  <si>
    <t>L’impresa ha adeguatamente formato i lavoratori che utilizzano attrezzature, materiali e sostanze pericolose sui rischi specifici che questi possano causare alla salute e ha fornito una formazione adeguata su come utilizzarli in modo appropriato e cosa fare in caso di incidenti, assicurandosi la comprensione delle indicazioni da parte dei lavoratori stranieri?
In particolare, la formazione include indicazioni su come stoccare in maniera appropriata pesticidi e sostanze chimiche, come comprendere le etichette e istruzioni di prodotto, come gestire gli incidenti, come smaltire i contenitori vuoti, eventuali intervalli nell’utilizzo delle sostanze chimiche, attraverso istruzioni chiare, illustrate e visibili sul luogo di lavoro</t>
  </si>
  <si>
    <t>3.9.5</t>
  </si>
  <si>
    <t xml:space="preserve">L’impresa fa attenzione a non usare pesticidi e sostanze chimiche a meno di 10 metri da zone frequentate da persone, a meno che ci siano barriere protettive?
</t>
  </si>
  <si>
    <t>L’impresa si assicura che l’applicazione di pesticidi e altre sostanze chimiche pericolose non avvenga al di sotto di un raggio di 10 metri da altre attività umane, a meno che non vi sia una barriera fisica che riduca l’esposizione di soggetti terzi.</t>
  </si>
  <si>
    <t>3.9.6</t>
  </si>
  <si>
    <t xml:space="preserve">L’impresa garantisce acqua potabile e servizi igienici (separati per donne e uomini) in numero sufficiente per i lavoratori?
</t>
  </si>
  <si>
    <t>L’impresa si assicura che i lavoratori sul campo abbiano accesso ad acqua potabile e servizi igienici separati per donne e uomini e in numero adeguato al numero dei
lavoratori?</t>
  </si>
  <si>
    <t>3.9.7</t>
  </si>
  <si>
    <t xml:space="preserve">L’impresa evita di assegnare lavori pericolosi a persone vulnerabili come minorenni, donne in gravidanza, disabili o lavoratori con patologie?
</t>
  </si>
  <si>
    <t>L’impresa si assicura che i lavoratori under 18, le donne in stato di gravidanza o in allattamento, i lavoratori disabili o con malattie croniche non siano adibiti a mansioni potenzialmente pericolose per la loro condizione psico-fisica?</t>
  </si>
  <si>
    <t>3.10.1</t>
  </si>
  <si>
    <t xml:space="preserve">L’impresa ha una policy scritta contro la violenza e la discriminazione di genere sul luogo di lavoro?
</t>
  </si>
  <si>
    <t>Una policy contro la violenza e la discriminazione di genere dovrebbe indicare chiaramente che l’impresa non tollera comportamenti violenti, offensivi o discriminatori nei confronti di donne e uomini sul posto di lavoro.
È utile che l’impresa raccolga dati separati per genere (numero di lavoratori e lavoratrici, ruoli ricoperti, salari, ecc.) per capire se esistono differenze o situazioni di svantaggio.
Dovrebbe inoltre promuovere la partecipazione attiva e paritaria delle donne in momenti importanti della vita aziendale, come riunioni, consultazioni o decisioni sul lavoro.</t>
  </si>
  <si>
    <t>Violenza di genere</t>
  </si>
  <si>
    <t>L’impresa si è dotata di una policy in materia di violenza di genere, abusi sessuali e violenza sul luogo di lavoro? 
Es. inclusivo di sistemi di raccolta e valutazione dei dati disaggregati per genere per comprendere gli impatti di genere dell’attività dell’impresa; di processi che favoriscano l’inclusione e la partecipazione delle donne es. sostenere la partecipazione paritetica e significativa delle donne in consultazioni e negoziazioni</t>
  </si>
  <si>
    <t>3.10.2</t>
  </si>
  <si>
    <t xml:space="preserve">L’impresa ha informato lavoratori e partner sull’esistenza della policy e ha formato il personale sui suoi contenuti?
</t>
  </si>
  <si>
    <t>L’impresa ha informato i propri lavoratori e i propri partner commerciali in merito all’esistenza e ai contenuti della policy e formato i propri lavoratori al rispetto di tale policy?</t>
  </si>
  <si>
    <t>3.10.3</t>
  </si>
  <si>
    <t xml:space="preserve">L’impresa ha un sistema di segnalazione per casi di violenza o discriminazione di genere che garantisca riservatezza e protezione per chi segnala?
</t>
  </si>
  <si>
    <t>L’impresa ha adottato un sistema di vigilanza relativo alle tematiche di genere inclusivo di un sistema di segnalazione violazioni e irregolarità ad hoc che garantisca l’accesso e la protezione per i soggetti che vi accedono?</t>
  </si>
  <si>
    <t>3.10.4</t>
  </si>
  <si>
    <t>L’impresa ha previsto la possibilità di fermare temporaneamente o definitivamente alcune attività se emergono problemi gravi che danneggiano i diritti delle persone coinvolte (es. lavoratori, comunità locali)?</t>
  </si>
  <si>
    <t>_Ad esempio: se una certa pratica aziendale mette a rischio la salute dei lavoratori, l’azienda può decidere di sospendere l’attività fino a che non trova una soluzione._</t>
  </si>
  <si>
    <t>Cessare gli impatti</t>
  </si>
  <si>
    <t>L’impresa ha un sistema di arresto delle operazioni (temporaneo o permanente) in caso di impatti negativi riscontrati?</t>
  </si>
  <si>
    <t>3.10.5</t>
  </si>
  <si>
    <t>L’impresa ha definito in anticipo un sistema per chiudere o sospendere i contratti con fornitori o partner che continuano a causare gravi problemi o violazioni dei diritti umani, anche dopo che è stato chiesto loro di cambiare?</t>
  </si>
  <si>
    <t>_Ad esempio: se un fornitore sfrutta la manodopera o paga salari troppo bassi e non si adegua, l’impresa può scegliere di interrompere la collaborazione._</t>
  </si>
  <si>
    <t>L’impresa ha previsto un sistema di risoluzione dei contratti con i partner commerciali in caso di perdurante impatto negativo di questi ultimi?</t>
  </si>
  <si>
    <t>3.10.6</t>
  </si>
  <si>
    <t>Se l’impresa non riesce a fermare del tutto un’attività che ha effetti negativi, ha previsto un piano a lungo termine per ridurre il danno nel tempo e proteggere le persone coinvolte?</t>
  </si>
  <si>
    <t>_Ad esempio: se un’attività è difficile da sostituire ma causa disagi ai lavoratori o rischi per la salute, l’azienda definisce un percorso per migliorare gradualmente la situazione._</t>
  </si>
  <si>
    <t>L’impresa ha adottato un processo per realizzare piani d’azione a lungo termine in caso di impossibilità di cessazione delle attività che causano impatti negativi?</t>
  </si>
  <si>
    <t>L’impresa verifica almeno una volta all’anno che quando scritto nelle policy (soprattutto in materia di discriminazione, violenza di genere, salute e sicurezza, lavoro forzato, lavoro minorile) venga applicato e rispettato attraverso controlli interni, colloqui con i lavoratori e sindacati?</t>
  </si>
  <si>
    <t>IV. Monitorare</t>
  </si>
  <si>
    <r>
      <rPr>
        <i/>
        <sz val="10"/>
        <color rgb="FF000000"/>
        <rFont val="Nunito"/>
      </rPr>
      <t>(descrizione sezione)</t>
    </r>
    <r>
      <rPr>
        <sz val="10"/>
        <color rgb="FF000000"/>
        <rFont val="Nunito"/>
      </rPr>
      <t xml:space="preserve">
</t>
    </r>
    <r>
      <rPr>
        <b/>
        <sz val="10"/>
        <color rgb="FF000000"/>
        <rFont val="Nunito"/>
      </rPr>
      <t xml:space="preserve">QUARTO STEP: MONITORARE
</t>
    </r>
    <r>
      <rPr>
        <sz val="10"/>
        <color rgb="FF000000"/>
        <rFont val="Nunito"/>
      </rPr>
      <t xml:space="preserve">MONITORAGGIO, ATTUAZIONE E RISULTATI
</t>
    </r>
  </si>
  <si>
    <t>L’impresa ha adottato un processo di verifica periodico [almeno annuale] dell’efficacia della procedura di due diligence, che include attività di auditing, verifiche on-site e consultazioni con gli stakeholders (es. interviste con lavoratori e rappresentanze sindacali)?</t>
  </si>
  <si>
    <t xml:space="preserve">Se le misure adottate non funzionano, l’impresa ha un processo per rivederle e migliorarle?
</t>
  </si>
  <si>
    <t>Il processo può concentrarsi su nodi chiave della filiera o "colli di bottiglia" identificando alcuni attori nella filiera sulla base di:
- punti chiave di trasformazione nella filiera
- punti della filiera in cui ci sono meno attori o punti di aggregazione dei prodotti
- punti in cui le aziende che vendono o distribuiscono il prodotto finale hanno più forza o strumenti per influenzare il mercato o i fornitori
- punti di operatività di schemi di certificazione e programmi di audit</t>
  </si>
  <si>
    <t>L’impresa ha un processo di revisione delle strategie nel caso in cui le misure adottate non si siano rivelate efficaci al fine di prevenire o mitigare il rischio?
N.B. Il processo di verifica dell’efficacia può non coinvolgere tutte le imprese della filiera ma limitarsi ai c.d. “colli di bottiglia” (choke points) identificando alcuni stakeholders nella filiera sulla base di:
- punti chiave di trasformazione nella filiera
- punti della filiera in cui ci sono meno attori o punti di aggregazione dei prodotti
- punti di maggiore leverage delle imprese downstream
- punti di operatività di schemi di certificazione e programmi di audit</t>
  </si>
  <si>
    <t>L’impresa pubblica un rapporto (anche semplice) che spiega cosa fa per tutelare i diritti umani e prevenire i rischi?</t>
  </si>
  <si>
    <t>V. Comunicare</t>
  </si>
  <si>
    <t>COMUNICARE COME L'IMPRESA AFFRONTA GLI IMPATTI</t>
  </si>
  <si>
    <r>
      <rPr>
        <i/>
        <sz val="10"/>
        <color rgb="FF000000"/>
        <rFont val="Nunito"/>
      </rPr>
      <t xml:space="preserve">(descrizione sezione)
</t>
    </r>
    <r>
      <rPr>
        <b/>
        <sz val="10"/>
        <color rgb="FF000000"/>
        <rFont val="Nunito"/>
      </rPr>
      <t xml:space="preserve">QUINTO STEP: COMUNICARE
</t>
    </r>
    <r>
      <rPr>
        <sz val="10"/>
        <color rgb="FF000000"/>
        <rFont val="Nunito"/>
      </rPr>
      <t>COMUNICARE COME L'IMPRESA AFFRONTA GLI IMPATTI</t>
    </r>
  </si>
  <si>
    <t>L’impresa redige un rapporto pubblico sulle politiche di due diligence attuate?</t>
  </si>
  <si>
    <t>L’impresa aggiorna periodicamente clienti, fornitori, istituzioni o comunità locali sui progressi fatti nella gestione dei rischi?</t>
  </si>
  <si>
    <t>L’impresa comunica periodicamente gli avanzamenti e i monitoraggi della valutazione e gestione dei rischi con gli stakeholders?</t>
  </si>
  <si>
    <t>5.3</t>
  </si>
  <si>
    <t xml:space="preserve">L’impresa ha un sistema per raccogliere e comunicare dati su:
</t>
  </si>
  <si>
    <t>Requisito previsto dal report di sostenibilità Voluntary reporting standard for SMEs (VSME).</t>
  </si>
  <si>
    <t>L’impresa ha adottato meccanismi per comunicare efficacemente le seguenti informazioni:</t>
  </si>
  <si>
    <t>VSMEs par. 200 e 203</t>
  </si>
  <si>
    <t>5.3.1</t>
  </si>
  <si>
    <t>il numero dei dipendenti con indicazione del tipo di contratto (temporaneo o permanente), genere, paese di impiego?</t>
  </si>
  <si>
    <t>assessment-5.3</t>
  </si>
  <si>
    <t>Numero dei dipendenti con indicazione del tipo di contratto (temporaneo o permanente), genere, paese di impiego</t>
  </si>
  <si>
    <t>5.3.2</t>
  </si>
  <si>
    <t>il numero e la percentuale di incidenti e/o malattie collegati al lavoro?</t>
  </si>
  <si>
    <t>*Come vanno calcolati?*
Sulla base del numero di incidenti per anno rendicontato / numero totale delle ore lavorate nell’anno da tutti i dipendenti x 200.000*.
*200.000 è un un'unità comparativa e rappresenta il totale di ore lavorate da 100 dipendenti a tempo pieno in un anno</t>
  </si>
  <si>
    <t>Numero e percentuale di incidenti collegati al lavoro e numero di decessi connessi a indicenti e malattie collegate al lavoro (calcolati sulla base del numero di incidenti per anno rendicontato / numero totale delle ore lavorate nell’anno da tutti i dipendenti x 200.000)</t>
  </si>
  <si>
    <t>5.3.3</t>
  </si>
  <si>
    <t>l'allineamento delle paghe con i compensi minimi previsto dalla legge nazionale o dal CCNL applicabile, la percentuale di differenza della paga per genere, la percentuale di dipendenti coperti da CCNL, il numero medio di ore di formazione per dipendente diviso per genere?</t>
  </si>
  <si>
    <t>Requisito previsto dal report di sostenibilità Voluntary reporting standard for SMEs (VSME).
[cfr. formule par. 200 e 203 VSMEs per calcolare inserire in box]</t>
  </si>
  <si>
    <t>Allineamento delle paghe con i compensi minimi previsto dalla legge nazionale o dal CCNL applicabile, la percentuale di gender pay gap, la percentuale di dipendenti coperti da CCNL, il numero medio di ore di formazione per dipendente diviso per genere [cfr. formule par. 200 e 203 VSMEs per calcolare inserire in box]</t>
  </si>
  <si>
    <t>5.3.4</t>
  </si>
  <si>
    <t>la presenza di eventuali incidenti gravi confermati oppure denunce o reclami ricevuti, irregolarità accertate tramite controlli, o altre segnalazioni formali.</t>
  </si>
  <si>
    <t>Il sistema dovrebbe anche documentare quali azioni sono state intraprese dall’impresa per affrontare questi problemi.
Questo vale sia per episodi che coinvolgono direttamente i lavoratori dell’azienda, sia per fatti noti che riguardano fornitori, clienti, comunità locali o consumatori.</t>
  </si>
  <si>
    <t>Eventuali incidenti gravi in materia di diritti umani confermati (azioni legati o reclami registrati presso l’impresa o istanze di non-compliance attraverso procedure stabilite) e le azioni intraprese in conseguenza di tali incidenti, in relazione alla propria forza lavoro o conoscenza di incidenti confermati in relazione ai diritti umani dei lavoratori nella catena del valore, delle comunità o dei consumatori.</t>
  </si>
  <si>
    <t>L’impresa ha un sistema (documentato) per permettere ai lavoratori di segnalare problemi legati ai diritti umani?</t>
  </si>
  <si>
    <t>VI. Rimediare</t>
  </si>
  <si>
    <t>RIMEDI</t>
  </si>
  <si>
    <t xml:space="preserve">Occorre dare la possibilità ai lavoratori di *accedere a meccanismi di reclamo in modo riservato*.
Le segnalazioni possono essere inviate:
- per iscritto o a voce a un rappresentante dei lavoratori formato e fidato
- attraverso i referenti dei dipendenti, come ad esempio supervisori, dirigenti, risorse
umane, ecc.
- in una cassetta dei suggerimenti disponibile presso i luoghi di lavoro
- attraverso applicazioni telefoniche, risposte vocali interattive o applicazioni mobili
- con una linea di assistenza indipendente, specializzata, multilingue, confidenziale ed
anonima
*Esempi di reclami/segnalazioni* possono riguardare questioni come violenza, comportamenti abusivi, bullismo, intimidazione, corruzione, discriminazione, molestie, vittimizzazione, spese di assunzione, alloggio inadeguato, lavoro forzato e sfruttamento del lavoro. 
Possono concernere anche la violenza e le molestie di genere, compresa la violenza verbale, fisica e sessuale.
</t>
  </si>
  <si>
    <t>Requisito previsto dal report di sostenibilità Voluntary reporting standard for SMEs (VSME).
Paragrafo 61</t>
  </si>
  <si>
    <t>[Allegato 8c | Piano di risposta e rimedio in caso di sfruttamento](../downloads/8c-risposta-rimedio.pdf)</t>
  </si>
  <si>
    <t>L’impresa ha stabilito una procedura di reclamo per conoscere tempestivamente condotte contrarie agli standard di tutela dei diritti umani?</t>
  </si>
  <si>
    <t xml:space="preserve">Il sistema di reclamo è accessibile anche ad altri soggetti esterni che possono subire danni o conseguenze negative dalle attività dell'impresa (es. fornitori, comunità)?
</t>
  </si>
  <si>
    <t>IF S.6.1 = "SI" THEN</t>
  </si>
  <si>
    <t>IF S.6.1 = "NO" GO TO S.6.6</t>
  </si>
  <si>
    <t>Il meccanismo di reclamo è facilmente accessibile ai lavoratori e a tutti gli stakeholders potenzialmente impattati dall’attività d’impresa?</t>
  </si>
  <si>
    <t xml:space="preserve">Il sistema garantisce anonimato, accessibilità e protezione per chi segnala?
</t>
  </si>
  <si>
    <t>L'impresa dovrebbe inoltre prevedere l'esistenza di un garante esterno all'impresa. 
*Chi può fare da garante?*
- consulente del lavoro o commercialista di fiducia dell’azienda 
- associazione agricola di categoria se offre uno sportello o funzione di mediazione indipendente
- rappresentante sindacale territoriale (anche per lavoratori stranieri), se disponibile e riconosciuto da ambo le parti
- organizzazioni del terzo settore attive sul territorio in tutela di lavoratori o migranti (es. cooperative sociali, sportelli diritti)
- mediatore culturale o volontario di una associazione di supporto ai braccianti o ai migranti
- organismo paritetico o ente bilaterale agricolo provinciale, se attivo sul territorio</t>
  </si>
  <si>
    <t>L’utilizzo del meccanismo di reclamo è garantito e incentivato attraverso presidi quali l’anonimato, l’accessibilità sul luogo di lavoro o in altro luogo protetto, l’esistenza di un riferimento o garante esterno all’impresa?</t>
  </si>
  <si>
    <t xml:space="preserve">L’impresa tiene un registro delle segnalazioni e aggiorna i propri documenti in base ai problemi emersi?
</t>
  </si>
  <si>
    <t>Esiste un registro dei reclami ricevuti e un meccanismo di incorporazione delle istanze emerse nei reclami nelle policy di condotta responsabile?</t>
  </si>
  <si>
    <t xml:space="preserve">L’impresa ha una procedura per gestire i reclami ricevuti legati ai diritti dei lavoratori?
</t>
  </si>
  <si>
    <t>L’impresa è dotata di un processo per la gestione dei reclami ricevuti in relazione alle violazioni dei diritti umani della propria forza lavoro? [rif. VSMEs par. 61]]</t>
  </si>
  <si>
    <t>Rif. VSMEs §61</t>
  </si>
  <si>
    <t>6.6</t>
  </si>
  <si>
    <t xml:space="preserve">L’impresa collabora con le autorità se vengono riscontrate irregolarità nei propri processi o in quelli dei suoi fornitori?
</t>
  </si>
  <si>
    <t>L’impresa collabora con le autorità pubbliche in caso di irregolarità riscontrate nella propria attività e nell’attività di soggetti nella propria catena di fornitura?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</si>
</sst>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17">
    <font>
      <sz val="10"/>
      <color rgb="FF000000"/>
      <name val="Arial"/>
      <scheme val="minor"/>
    </font>
    <font>
      <b/>
      <sz val="10"/>
      <color rgb="FF000000"/>
      <name val="Nunito"/>
    </font>
    <font>
      <sz val="10"/>
      <color rgb="FF000000"/>
      <name val="Nunito"/>
    </font>
    <font>
      <b/>
      <sz val="10"/>
      <color rgb="FFFF0000"/>
      <name val="Nunito"/>
    </font>
    <font>
      <sz val="11"/>
      <color theme="1"/>
      <name val="Calibri"/>
      <family val="2"/>
    </font>
    <font>
      <sz val="10"/>
      <color theme="1"/>
      <name val="Nunito"/>
    </font>
    <font>
      <u/>
      <sz val="10"/>
      <color rgb="FF000000"/>
      <name val="Nunito"/>
    </font>
    <font>
      <sz val="10"/>
      <name val="Arial"/>
      <family val="2"/>
    </font>
    <font>
      <i/>
      <sz val="10"/>
      <color rgb="FF000000"/>
      <name val="Nunito"/>
    </font>
    <font>
      <strike/>
      <sz val="10"/>
      <color rgb="FF000000"/>
      <name val="Nunito"/>
    </font>
    <font>
      <b/>
      <sz val="10"/>
      <color theme="1"/>
      <name val="Nunito"/>
    </font>
    <font>
      <sz val="11"/>
      <color rgb="FF000000"/>
      <name val="Calibri"/>
      <family val="2"/>
    </font>
    <font>
      <b/>
      <sz val="11"/>
      <color theme="1"/>
      <name val="Calibri"/>
      <family val="2"/>
    </font>
    <font>
      <b/>
      <i/>
      <sz val="10"/>
      <color rgb="FF000000"/>
      <name val="Nunito"/>
    </font>
    <font>
      <u/>
      <sz val="10"/>
      <color rgb="FF1155CC"/>
      <name val="Nunito"/>
    </font>
    <font>
      <sz val="10"/>
      <color rgb="FF000000"/>
      <name val="Arial"/>
      <family val="2"/>
      <scheme val="minor"/>
    </font>
    <font>
      <sz val="10"/>
      <color rgb="FF000000"/>
      <name val="Arial"/>
      <family val="2"/>
    </font>
  </fonts>
  <fills count="4">
    <fill>
      <patternFill patternType="none"/>
    </fill>
    <fill>
      <patternFill patternType="gray125"/>
    </fill>
    <fill>
      <patternFill patternType="solid">
        <fgColor rgb="FFF4CCCC"/>
        <bgColor rgb="FFF4CCCC"/>
      </patternFill>
    </fill>
    <fill>
      <patternFill patternType="solid">
        <fgColor rgb="FFFF0000"/>
        <bgColor rgb="FFFF0000"/>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1">
    <xf numFmtId="0" fontId="0" fillId="0" borderId="0"/>
  </cellStyleXfs>
  <cellXfs count="33">
    <xf numFmtId="0" fontId="0" fillId="0" borderId="0" xfId="0"/>
    <xf numFmtId="0" fontId="1" fillId="0" borderId="1" xfId="0" applyFont="1" applyBorder="1" applyAlignment="1">
      <alignment horizontal="left" vertical="top"/>
    </xf>
    <xf numFmtId="0" fontId="1" fillId="0" borderId="1" xfId="0" applyFont="1" applyBorder="1" applyAlignment="1">
      <alignment horizontal="left" vertical="top" wrapText="1"/>
    </xf>
    <xf numFmtId="0" fontId="2" fillId="0" borderId="1" xfId="0" applyFont="1" applyBorder="1" applyAlignment="1">
      <alignment horizontal="left" vertical="top"/>
    </xf>
    <xf numFmtId="0" fontId="2" fillId="0" borderId="1" xfId="0" applyFont="1" applyBorder="1" applyAlignment="1">
      <alignment horizontal="left" vertical="top" wrapText="1"/>
    </xf>
    <xf numFmtId="0" fontId="3" fillId="0" borderId="1" xfId="0" applyFont="1" applyBorder="1" applyAlignment="1">
      <alignment horizontal="left" vertical="top" wrapText="1"/>
    </xf>
    <xf numFmtId="0" fontId="4" fillId="0" borderId="2" xfId="0" applyFont="1" applyBorder="1" applyAlignment="1">
      <alignment vertical="top" wrapText="1"/>
    </xf>
    <xf numFmtId="0" fontId="5" fillId="0" borderId="1" xfId="0" applyFont="1" applyBorder="1" applyAlignment="1">
      <alignment horizontal="left" vertical="top"/>
    </xf>
    <xf numFmtId="0" fontId="6" fillId="0" borderId="1" xfId="0" applyFont="1" applyBorder="1" applyAlignment="1">
      <alignment horizontal="left" vertical="top" wrapText="1"/>
    </xf>
    <xf numFmtId="49" fontId="2" fillId="0" borderId="1" xfId="0" quotePrefix="1" applyNumberFormat="1" applyFont="1" applyBorder="1" applyAlignment="1">
      <alignment horizontal="left" vertical="top"/>
    </xf>
    <xf numFmtId="0" fontId="8" fillId="0" borderId="1" xfId="0" applyFont="1" applyBorder="1" applyAlignment="1">
      <alignment horizontal="left" vertical="top" wrapText="1"/>
    </xf>
    <xf numFmtId="0" fontId="2" fillId="0" borderId="1" xfId="0" quotePrefix="1" applyFont="1" applyBorder="1" applyAlignment="1">
      <alignment horizontal="left" vertical="top"/>
    </xf>
    <xf numFmtId="0" fontId="5" fillId="0" borderId="1" xfId="0" quotePrefix="1" applyFont="1" applyBorder="1" applyAlignment="1">
      <alignment vertical="top"/>
    </xf>
    <xf numFmtId="0" fontId="5" fillId="0" borderId="1" xfId="0" applyFont="1" applyBorder="1" applyAlignment="1">
      <alignment vertical="top"/>
    </xf>
    <xf numFmtId="0" fontId="5" fillId="0" borderId="1" xfId="0" applyFont="1" applyBorder="1" applyAlignment="1">
      <alignment vertical="top" wrapText="1"/>
    </xf>
    <xf numFmtId="0" fontId="9" fillId="0" borderId="1" xfId="0" applyFont="1" applyBorder="1" applyAlignment="1">
      <alignment horizontal="left" vertical="top" wrapText="1"/>
    </xf>
    <xf numFmtId="0" fontId="1" fillId="0" borderId="1" xfId="0" applyFont="1" applyBorder="1" applyAlignment="1">
      <alignment vertical="top" wrapText="1"/>
    </xf>
    <xf numFmtId="0" fontId="5" fillId="2" borderId="1" xfId="0" quotePrefix="1" applyFont="1" applyFill="1" applyBorder="1" applyAlignment="1">
      <alignment horizontal="left" vertical="top"/>
    </xf>
    <xf numFmtId="0" fontId="5" fillId="2" borderId="1" xfId="0" applyFont="1" applyFill="1" applyBorder="1" applyAlignment="1">
      <alignment horizontal="left" vertical="top" wrapText="1"/>
    </xf>
    <xf numFmtId="0" fontId="2" fillId="2" borderId="1" xfId="0" applyFont="1" applyFill="1" applyBorder="1" applyAlignment="1">
      <alignment horizontal="left" vertical="top" wrapText="1"/>
    </xf>
    <xf numFmtId="0" fontId="5" fillId="2" borderId="1" xfId="0" applyFont="1" applyFill="1" applyBorder="1" applyAlignment="1">
      <alignment horizontal="left" vertical="top"/>
    </xf>
    <xf numFmtId="164" fontId="2" fillId="0" borderId="1" xfId="0" applyNumberFormat="1" applyFont="1" applyBorder="1" applyAlignment="1">
      <alignment horizontal="left" vertical="top"/>
    </xf>
    <xf numFmtId="0" fontId="4" fillId="2" borderId="2" xfId="0" applyFont="1" applyFill="1" applyBorder="1" applyAlignment="1">
      <alignment vertical="top" wrapText="1"/>
    </xf>
    <xf numFmtId="0" fontId="10" fillId="2" borderId="1" xfId="0" applyFont="1" applyFill="1" applyBorder="1" applyAlignment="1">
      <alignment horizontal="left" vertical="top" wrapText="1"/>
    </xf>
    <xf numFmtId="0" fontId="11" fillId="0" borderId="6" xfId="0" applyFont="1" applyBorder="1" applyAlignment="1">
      <alignment vertical="top" wrapText="1"/>
    </xf>
    <xf numFmtId="0" fontId="2" fillId="0" borderId="1" xfId="0" applyFont="1" applyBorder="1" applyAlignment="1">
      <alignment vertical="top" wrapText="1"/>
    </xf>
    <xf numFmtId="0" fontId="5" fillId="0" borderId="1" xfId="0" applyFont="1" applyBorder="1" applyAlignment="1">
      <alignment horizontal="left" vertical="top" wrapText="1"/>
    </xf>
    <xf numFmtId="0" fontId="10" fillId="0" borderId="1" xfId="0" applyFont="1" applyBorder="1" applyAlignment="1">
      <alignment horizontal="left" vertical="top" wrapText="1"/>
    </xf>
    <xf numFmtId="0" fontId="5" fillId="0" borderId="1" xfId="0" quotePrefix="1" applyFont="1" applyBorder="1" applyAlignment="1">
      <alignment horizontal="left" vertical="top"/>
    </xf>
    <xf numFmtId="0" fontId="2" fillId="0" borderId="3" xfId="0" applyFont="1" applyBorder="1" applyAlignment="1">
      <alignment horizontal="left" vertical="top" wrapText="1"/>
    </xf>
    <xf numFmtId="0" fontId="7" fillId="0" borderId="4" xfId="0" applyFont="1" applyBorder="1"/>
    <xf numFmtId="0" fontId="7" fillId="0" borderId="5" xfId="0" applyFont="1" applyBorder="1"/>
    <xf numFmtId="0" fontId="2" fillId="3" borderId="3"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www.oecd.org/content/dam/oecd/it/publications/reports/2023/06/oecd-guidelines-for-multinational-enterprises-on-responsible-business-conduct_a0b49990/cdce11ac-it.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U93"/>
  <sheetViews>
    <sheetView tabSelected="1" workbookViewId="0">
      <pane xSplit="1" ySplit="1" topLeftCell="B2" activePane="bottomRight" state="frozen"/>
      <selection pane="topRight" activeCell="B1" sqref="B1"/>
      <selection pane="bottomLeft" activeCell="A2" sqref="A2"/>
      <selection pane="bottomRight" activeCell="I4" sqref="I4"/>
    </sheetView>
  </sheetViews>
  <sheetFormatPr baseColWidth="10" defaultColWidth="12.6640625" defaultRowHeight="15.75" customHeight="1" outlineLevelCol="1"/>
  <cols>
    <col min="1" max="1" width="10.5" customWidth="1"/>
    <col min="2" max="3" width="24" customWidth="1"/>
    <col min="4" max="4" width="25.1640625" customWidth="1"/>
    <col min="5" max="5" width="62.1640625" customWidth="1"/>
    <col min="6" max="6" width="25.1640625" customWidth="1"/>
    <col min="7" max="7" width="24" customWidth="1"/>
    <col min="8" max="8" width="40" hidden="1" customWidth="1"/>
    <col min="9" max="9" width="25.1640625" customWidth="1"/>
    <col min="10" max="10" width="27.6640625" customWidth="1"/>
    <col min="11" max="11" width="52.1640625" customWidth="1"/>
    <col min="12" max="12" width="43.1640625" customWidth="1"/>
    <col min="13" max="13" width="49.5" customWidth="1"/>
    <col min="14" max="14" width="27.6640625" customWidth="1"/>
    <col min="15" max="16" width="27.33203125" customWidth="1" outlineLevel="1"/>
    <col min="17" max="17" width="27.6640625" customWidth="1"/>
    <col min="18" max="18" width="25.1640625" customWidth="1"/>
    <col min="19" max="19" width="11.6640625" customWidth="1"/>
    <col min="20" max="20" width="58.33203125" customWidth="1" outlineLevel="1"/>
    <col min="21" max="21" width="40" customWidth="1"/>
  </cols>
  <sheetData>
    <row r="1" spans="1:21" ht="16">
      <c r="A1" s="1" t="s">
        <v>0</v>
      </c>
      <c r="B1" s="1" t="s">
        <v>1</v>
      </c>
      <c r="C1" s="1" t="s">
        <v>2</v>
      </c>
      <c r="D1" s="2" t="s">
        <v>3</v>
      </c>
      <c r="E1" s="2" t="s">
        <v>4</v>
      </c>
      <c r="F1" s="2" t="s">
        <v>5</v>
      </c>
      <c r="G1" s="1" t="s">
        <v>6</v>
      </c>
      <c r="H1" s="2" t="s">
        <v>7</v>
      </c>
      <c r="I1" s="2" t="s">
        <v>8</v>
      </c>
      <c r="J1" s="2" t="s">
        <v>9</v>
      </c>
      <c r="K1" s="2" t="s">
        <v>10</v>
      </c>
      <c r="L1" s="2" t="s">
        <v>11</v>
      </c>
      <c r="M1" s="1" t="s">
        <v>12</v>
      </c>
      <c r="N1" s="2" t="s">
        <v>13</v>
      </c>
      <c r="O1" s="2" t="s">
        <v>14</v>
      </c>
      <c r="P1" s="2" t="s">
        <v>15</v>
      </c>
      <c r="Q1" s="2" t="s">
        <v>16</v>
      </c>
      <c r="R1" s="2" t="s">
        <v>17</v>
      </c>
      <c r="S1" s="1" t="s">
        <v>18</v>
      </c>
      <c r="T1" s="2" t="s">
        <v>19</v>
      </c>
      <c r="U1" s="2" t="s">
        <v>20</v>
      </c>
    </row>
    <row r="2" spans="1:21" ht="21" customHeight="1">
      <c r="A2" s="3" t="s">
        <v>21</v>
      </c>
      <c r="B2" s="3" t="str">
        <f>"assessment-"&amp;A2</f>
        <v>assessment-0.1</v>
      </c>
      <c r="C2" s="3" t="str">
        <f>G2&amp;" | Domanda "&amp;A2</f>
        <v>Anagrafica | Domanda 0.1</v>
      </c>
      <c r="D2" s="4" t="s">
        <v>22</v>
      </c>
      <c r="E2" s="4" t="s">
        <v>23</v>
      </c>
      <c r="F2" s="4"/>
      <c r="G2" s="3" t="s">
        <v>24</v>
      </c>
      <c r="H2" s="4"/>
      <c r="I2" s="4" t="b">
        <v>0</v>
      </c>
      <c r="J2" s="4">
        <v>1</v>
      </c>
      <c r="K2" s="4"/>
      <c r="L2" s="4"/>
      <c r="M2" s="3"/>
      <c r="N2" s="4" t="b">
        <v>0</v>
      </c>
      <c r="O2" s="4"/>
      <c r="P2" s="4"/>
      <c r="Q2" s="4"/>
      <c r="R2" s="4"/>
      <c r="S2" s="3"/>
      <c r="T2" s="4" t="s">
        <v>25</v>
      </c>
      <c r="U2" s="4"/>
    </row>
    <row r="3" spans="1:21" ht="20.25" customHeight="1">
      <c r="A3" s="3">
        <v>0.2</v>
      </c>
      <c r="B3" s="3" t="str">
        <f>"assessment-"&amp;A3</f>
        <v>assessment-0.2</v>
      </c>
      <c r="C3" s="3" t="str">
        <f>G3&amp;" | Domanda "&amp;A3</f>
        <v>Anagrafica | Domanda 0.2</v>
      </c>
      <c r="D3" s="4" t="s">
        <v>22</v>
      </c>
      <c r="E3" s="4" t="s">
        <v>26</v>
      </c>
      <c r="F3" s="4"/>
      <c r="G3" s="3" t="s">
        <v>24</v>
      </c>
      <c r="H3" s="4"/>
      <c r="I3" s="4" t="b">
        <v>0</v>
      </c>
      <c r="J3" s="4"/>
      <c r="K3" s="4"/>
      <c r="L3" s="4"/>
      <c r="M3" s="3"/>
      <c r="N3" s="4"/>
      <c r="O3" s="4"/>
      <c r="P3" s="4"/>
      <c r="Q3" s="4"/>
      <c r="R3" s="4"/>
      <c r="S3" s="3"/>
      <c r="T3" s="4"/>
      <c r="U3" s="4"/>
    </row>
    <row r="4" spans="1:21" ht="20.25" customHeight="1">
      <c r="A4" s="3">
        <v>0.3</v>
      </c>
      <c r="B4" s="3" t="str">
        <f t="shared" ref="B4:B93" si="0">"assessment-"&amp;A4</f>
        <v>assessment-0.3</v>
      </c>
      <c r="C4" s="3" t="str">
        <f t="shared" ref="C4:C93" si="1">G4&amp;" | Domanda "&amp;A4</f>
        <v>Anagrafica | Domanda 0.3</v>
      </c>
      <c r="D4" s="5" t="s">
        <v>27</v>
      </c>
      <c r="E4" s="4" t="s">
        <v>28</v>
      </c>
      <c r="F4" s="4"/>
      <c r="G4" s="3" t="s">
        <v>24</v>
      </c>
      <c r="H4" s="4"/>
      <c r="I4" s="4" t="b">
        <v>0</v>
      </c>
      <c r="J4" s="4">
        <v>1</v>
      </c>
      <c r="K4" s="4"/>
      <c r="L4" s="4"/>
      <c r="M4" s="3"/>
      <c r="N4" s="4" t="b">
        <v>0</v>
      </c>
      <c r="O4" s="4"/>
      <c r="P4" s="4"/>
      <c r="Q4" s="4"/>
      <c r="R4" s="4"/>
      <c r="S4" s="3"/>
      <c r="T4" s="4" t="s">
        <v>25</v>
      </c>
      <c r="U4" s="4"/>
    </row>
    <row r="5" spans="1:21" ht="21" customHeight="1">
      <c r="A5" s="3">
        <v>0.4</v>
      </c>
      <c r="B5" s="3" t="str">
        <f t="shared" si="0"/>
        <v>assessment-0.4</v>
      </c>
      <c r="C5" s="3" t="str">
        <f t="shared" si="1"/>
        <v>Anagrafica | Domanda 0.4</v>
      </c>
      <c r="D5" s="4" t="s">
        <v>22</v>
      </c>
      <c r="E5" s="4" t="s">
        <v>29</v>
      </c>
      <c r="F5" s="4"/>
      <c r="G5" s="3" t="s">
        <v>24</v>
      </c>
      <c r="H5" s="4"/>
      <c r="I5" s="4" t="b">
        <v>0</v>
      </c>
      <c r="J5" s="4">
        <v>1</v>
      </c>
      <c r="K5" s="4"/>
      <c r="L5" s="4"/>
      <c r="M5" s="3"/>
      <c r="N5" s="4" t="b">
        <v>0</v>
      </c>
      <c r="O5" s="4"/>
      <c r="P5" s="4"/>
      <c r="Q5" s="4"/>
      <c r="R5" s="4"/>
      <c r="S5" s="3"/>
      <c r="T5" s="4" t="s">
        <v>25</v>
      </c>
      <c r="U5" s="4"/>
    </row>
    <row r="6" spans="1:21" ht="16">
      <c r="A6" s="3">
        <v>0.5</v>
      </c>
      <c r="B6" s="3" t="str">
        <f t="shared" si="0"/>
        <v>assessment-0.5</v>
      </c>
      <c r="C6" s="3" t="str">
        <f t="shared" si="1"/>
        <v>Anagrafica | Domanda 0.5</v>
      </c>
      <c r="D6" s="5" t="s">
        <v>27</v>
      </c>
      <c r="E6" s="4" t="s">
        <v>30</v>
      </c>
      <c r="F6" s="4"/>
      <c r="G6" s="3" t="s">
        <v>24</v>
      </c>
      <c r="H6" s="4"/>
      <c r="I6" s="4" t="b">
        <v>0</v>
      </c>
      <c r="J6" s="4">
        <v>1</v>
      </c>
      <c r="K6" s="4"/>
      <c r="L6" s="4"/>
      <c r="M6" s="3"/>
      <c r="N6" s="4" t="b">
        <v>0</v>
      </c>
      <c r="O6" s="4"/>
      <c r="P6" s="4"/>
      <c r="Q6" s="4"/>
      <c r="R6" s="4"/>
      <c r="S6" s="3"/>
      <c r="T6" s="4" t="s">
        <v>25</v>
      </c>
      <c r="U6" s="4"/>
    </row>
    <row r="7" spans="1:21" ht="16">
      <c r="A7" s="3">
        <v>0.6</v>
      </c>
      <c r="B7" s="3" t="str">
        <f t="shared" si="0"/>
        <v>assessment-0.6</v>
      </c>
      <c r="C7" s="3" t="str">
        <f t="shared" si="1"/>
        <v>Anagrafica | Domanda 0.6</v>
      </c>
      <c r="D7" s="5" t="s">
        <v>27</v>
      </c>
      <c r="E7" s="4" t="s">
        <v>31</v>
      </c>
      <c r="F7" s="4"/>
      <c r="G7" s="3" t="s">
        <v>24</v>
      </c>
      <c r="H7" s="4"/>
      <c r="I7" s="4" t="b">
        <v>0</v>
      </c>
      <c r="J7" s="4">
        <v>1</v>
      </c>
      <c r="K7" s="4"/>
      <c r="L7" s="4"/>
      <c r="M7" s="3"/>
      <c r="N7" s="4" t="b">
        <v>0</v>
      </c>
      <c r="O7" s="4"/>
      <c r="P7" s="4"/>
      <c r="Q7" s="4"/>
      <c r="R7" s="4"/>
      <c r="S7" s="3"/>
      <c r="T7" s="4" t="s">
        <v>25</v>
      </c>
      <c r="U7" s="4"/>
    </row>
    <row r="8" spans="1:21" ht="16">
      <c r="A8" s="3">
        <v>0.7</v>
      </c>
      <c r="B8" s="3" t="str">
        <f t="shared" si="0"/>
        <v>assessment-0.7</v>
      </c>
      <c r="C8" s="3" t="str">
        <f t="shared" si="1"/>
        <v>Anagrafica | Domanda 0.7</v>
      </c>
      <c r="D8" s="5" t="s">
        <v>27</v>
      </c>
      <c r="E8" s="4" t="s">
        <v>32</v>
      </c>
      <c r="F8" s="4"/>
      <c r="G8" s="3" t="s">
        <v>24</v>
      </c>
      <c r="H8" s="4"/>
      <c r="I8" s="4" t="b">
        <v>0</v>
      </c>
      <c r="J8" s="4">
        <v>1</v>
      </c>
      <c r="K8" s="4"/>
      <c r="L8" s="4"/>
      <c r="M8" s="3"/>
      <c r="N8" s="4" t="b">
        <v>0</v>
      </c>
      <c r="O8" s="4"/>
      <c r="P8" s="4"/>
      <c r="Q8" s="4"/>
      <c r="R8" s="4"/>
      <c r="S8" s="3"/>
      <c r="T8" s="4" t="s">
        <v>25</v>
      </c>
      <c r="U8" s="4"/>
    </row>
    <row r="9" spans="1:21" ht="80">
      <c r="A9" s="3">
        <v>0.8</v>
      </c>
      <c r="B9" s="3" t="str">
        <f t="shared" si="0"/>
        <v>assessment-0.8</v>
      </c>
      <c r="C9" s="3" t="str">
        <f t="shared" si="1"/>
        <v>Anagrafica | Domanda 0.8</v>
      </c>
      <c r="D9" s="4" t="s">
        <v>22</v>
      </c>
      <c r="E9" s="4" t="s">
        <v>33</v>
      </c>
      <c r="F9" s="4"/>
      <c r="G9" s="3" t="s">
        <v>24</v>
      </c>
      <c r="H9" s="4"/>
      <c r="I9" s="4" t="b">
        <v>0</v>
      </c>
      <c r="J9" s="4">
        <v>1</v>
      </c>
      <c r="K9" s="4" t="s">
        <v>34</v>
      </c>
      <c r="L9" s="4"/>
      <c r="M9" s="3"/>
      <c r="N9" s="4" t="b">
        <v>0</v>
      </c>
      <c r="O9" s="4"/>
      <c r="P9" s="4"/>
      <c r="Q9" s="4"/>
      <c r="R9" s="4"/>
      <c r="S9" s="3"/>
      <c r="T9" s="4" t="s">
        <v>25</v>
      </c>
      <c r="U9" s="4"/>
    </row>
    <row r="10" spans="1:21" ht="144">
      <c r="A10" s="3" t="s">
        <v>35</v>
      </c>
      <c r="B10" s="3" t="str">
        <f t="shared" si="0"/>
        <v>assessment-1.1</v>
      </c>
      <c r="C10" s="3" t="str">
        <f t="shared" si="1"/>
        <v>I. Impegnarsi | Domanda 1.1</v>
      </c>
      <c r="D10" s="4" t="s">
        <v>27</v>
      </c>
      <c r="E10" s="6" t="s">
        <v>36</v>
      </c>
      <c r="F10" s="4"/>
      <c r="G10" s="3" t="s">
        <v>37</v>
      </c>
      <c r="H10" s="29" t="s">
        <v>38</v>
      </c>
      <c r="I10" s="4" t="b">
        <v>0</v>
      </c>
      <c r="J10" s="4">
        <v>1</v>
      </c>
      <c r="K10" s="4" t="s">
        <v>39</v>
      </c>
      <c r="L10" s="4"/>
      <c r="M10" s="7" t="s">
        <v>40</v>
      </c>
      <c r="N10" s="4" t="b">
        <v>0</v>
      </c>
      <c r="O10" s="2"/>
      <c r="P10" s="2" t="s">
        <v>41</v>
      </c>
      <c r="Q10" s="4"/>
      <c r="R10" s="4"/>
      <c r="S10" s="3">
        <v>1</v>
      </c>
      <c r="T10" s="4" t="s">
        <v>42</v>
      </c>
      <c r="U10" s="8" t="s">
        <v>43</v>
      </c>
    </row>
    <row r="11" spans="1:21" ht="144">
      <c r="A11" s="3" t="s">
        <v>44</v>
      </c>
      <c r="B11" s="3" t="str">
        <f t="shared" si="0"/>
        <v>assessment-1.2</v>
      </c>
      <c r="C11" s="3" t="str">
        <f t="shared" si="1"/>
        <v>I. Impegnarsi | Domanda 1.2</v>
      </c>
      <c r="D11" s="4" t="s">
        <v>27</v>
      </c>
      <c r="E11" s="6" t="s">
        <v>45</v>
      </c>
      <c r="F11" s="4"/>
      <c r="G11" s="3" t="s">
        <v>37</v>
      </c>
      <c r="H11" s="30"/>
      <c r="I11" s="4" t="b">
        <v>0</v>
      </c>
      <c r="J11" s="4">
        <v>1</v>
      </c>
      <c r="K11" s="4" t="s">
        <v>46</v>
      </c>
      <c r="L11" s="4" t="s">
        <v>47</v>
      </c>
      <c r="M11" s="3" t="s">
        <v>48</v>
      </c>
      <c r="N11" s="4" t="b">
        <v>0</v>
      </c>
      <c r="O11" s="4"/>
      <c r="P11" s="4"/>
      <c r="Q11" s="4"/>
      <c r="R11" s="4"/>
      <c r="S11" s="3">
        <v>2</v>
      </c>
      <c r="T11" s="4" t="s">
        <v>49</v>
      </c>
      <c r="U11" s="4" t="s">
        <v>50</v>
      </c>
    </row>
    <row r="12" spans="1:21" ht="64">
      <c r="A12" s="3" t="s">
        <v>51</v>
      </c>
      <c r="B12" s="3" t="str">
        <f t="shared" si="0"/>
        <v>assessment-1.3</v>
      </c>
      <c r="C12" s="3" t="str">
        <f t="shared" si="1"/>
        <v>I. Impegnarsi | Domanda 1.3</v>
      </c>
      <c r="D12" s="4" t="s">
        <v>52</v>
      </c>
      <c r="E12" s="6" t="s">
        <v>53</v>
      </c>
      <c r="F12" s="4"/>
      <c r="G12" s="3" t="s">
        <v>37</v>
      </c>
      <c r="H12" s="30"/>
      <c r="I12" s="4" t="b">
        <v>0</v>
      </c>
      <c r="J12" s="4">
        <v>1</v>
      </c>
      <c r="K12" s="4"/>
      <c r="L12" s="4"/>
      <c r="M12" s="7"/>
      <c r="N12" s="4" t="b">
        <v>0</v>
      </c>
      <c r="O12" s="4"/>
      <c r="P12" s="4"/>
      <c r="Q12" s="4"/>
      <c r="R12" s="4"/>
      <c r="S12" s="3">
        <v>3</v>
      </c>
      <c r="T12" s="4" t="s">
        <v>54</v>
      </c>
      <c r="U12" s="4" t="s">
        <v>55</v>
      </c>
    </row>
    <row r="13" spans="1:21" ht="48">
      <c r="A13" s="9" t="s">
        <v>56</v>
      </c>
      <c r="B13" s="3" t="str">
        <f t="shared" si="0"/>
        <v>assessment-1.3.1</v>
      </c>
      <c r="C13" s="3" t="str">
        <f t="shared" si="1"/>
        <v>I. Impegnarsi | Domanda 1.3.1</v>
      </c>
      <c r="D13" s="4" t="s">
        <v>27</v>
      </c>
      <c r="E13" s="6" t="s">
        <v>57</v>
      </c>
      <c r="F13" s="4"/>
      <c r="G13" s="3" t="s">
        <v>37</v>
      </c>
      <c r="H13" s="30"/>
      <c r="I13" s="4" t="b">
        <v>0</v>
      </c>
      <c r="J13" s="4">
        <v>1</v>
      </c>
      <c r="K13" s="4"/>
      <c r="L13" s="4"/>
      <c r="M13" s="7" t="s">
        <v>58</v>
      </c>
      <c r="N13" s="4" t="b">
        <v>0</v>
      </c>
      <c r="O13" s="4" t="s">
        <v>59</v>
      </c>
      <c r="P13" s="4"/>
      <c r="Q13" s="10"/>
      <c r="R13" s="4"/>
      <c r="S13" s="3" t="s">
        <v>60</v>
      </c>
      <c r="T13" s="4" t="s">
        <v>61</v>
      </c>
      <c r="U13" s="4"/>
    </row>
    <row r="14" spans="1:21" ht="32">
      <c r="A14" s="11" t="s">
        <v>62</v>
      </c>
      <c r="B14" s="3" t="str">
        <f t="shared" si="0"/>
        <v>assessment-1.3.2</v>
      </c>
      <c r="C14" s="3" t="str">
        <f t="shared" si="1"/>
        <v>I. Impegnarsi | Domanda 1.3.2</v>
      </c>
      <c r="D14" s="4" t="s">
        <v>27</v>
      </c>
      <c r="E14" s="6" t="s">
        <v>63</v>
      </c>
      <c r="F14" s="4"/>
      <c r="G14" s="3" t="s">
        <v>37</v>
      </c>
      <c r="H14" s="30"/>
      <c r="I14" s="4" t="b">
        <v>0</v>
      </c>
      <c r="J14" s="4">
        <v>1</v>
      </c>
      <c r="K14" s="4"/>
      <c r="L14" s="4"/>
      <c r="M14" s="7" t="s">
        <v>64</v>
      </c>
      <c r="N14" s="4" t="b">
        <v>0</v>
      </c>
      <c r="O14" s="4" t="s">
        <v>59</v>
      </c>
      <c r="P14" s="4"/>
      <c r="Q14" s="10"/>
      <c r="R14" s="4"/>
      <c r="S14" s="3" t="s">
        <v>65</v>
      </c>
      <c r="T14" s="4" t="s">
        <v>61</v>
      </c>
      <c r="U14" s="4"/>
    </row>
    <row r="15" spans="1:21" ht="32">
      <c r="A15" s="11" t="s">
        <v>66</v>
      </c>
      <c r="B15" s="3" t="str">
        <f t="shared" si="0"/>
        <v>assessment-1.3.3</v>
      </c>
      <c r="C15" s="3" t="str">
        <f t="shared" si="1"/>
        <v>I. Impegnarsi | Domanda 1.3.3</v>
      </c>
      <c r="D15" s="4" t="s">
        <v>27</v>
      </c>
      <c r="E15" s="6" t="s">
        <v>67</v>
      </c>
      <c r="F15" s="4"/>
      <c r="G15" s="3" t="s">
        <v>37</v>
      </c>
      <c r="H15" s="30"/>
      <c r="I15" s="4" t="b">
        <v>0</v>
      </c>
      <c r="J15" s="4">
        <v>1</v>
      </c>
      <c r="K15" s="4"/>
      <c r="L15" s="4"/>
      <c r="M15" s="7" t="s">
        <v>68</v>
      </c>
      <c r="N15" s="4" t="b">
        <v>0</v>
      </c>
      <c r="O15" s="4" t="s">
        <v>59</v>
      </c>
      <c r="P15" s="4"/>
      <c r="Q15" s="10"/>
      <c r="R15" s="4"/>
      <c r="S15" s="3" t="s">
        <v>69</v>
      </c>
      <c r="T15" s="4" t="s">
        <v>61</v>
      </c>
      <c r="U15" s="4"/>
    </row>
    <row r="16" spans="1:21" ht="32">
      <c r="A16" s="11" t="s">
        <v>70</v>
      </c>
      <c r="B16" s="3" t="str">
        <f t="shared" si="0"/>
        <v>assessment-1.3.4</v>
      </c>
      <c r="C16" s="3" t="str">
        <f t="shared" si="1"/>
        <v>I. Impegnarsi | Domanda 1.3.4</v>
      </c>
      <c r="D16" s="4" t="s">
        <v>27</v>
      </c>
      <c r="E16" s="6" t="s">
        <v>71</v>
      </c>
      <c r="F16" s="4"/>
      <c r="G16" s="3" t="s">
        <v>37</v>
      </c>
      <c r="H16" s="30"/>
      <c r="I16" s="4" t="b">
        <v>0</v>
      </c>
      <c r="J16" s="4">
        <v>1</v>
      </c>
      <c r="K16" s="4"/>
      <c r="L16" s="4"/>
      <c r="M16" s="7" t="s">
        <v>72</v>
      </c>
      <c r="N16" s="4" t="b">
        <v>0</v>
      </c>
      <c r="O16" s="4" t="s">
        <v>59</v>
      </c>
      <c r="P16" s="4"/>
      <c r="Q16" s="10"/>
      <c r="R16" s="4"/>
      <c r="S16" s="3" t="s">
        <v>73</v>
      </c>
      <c r="T16" s="4" t="s">
        <v>61</v>
      </c>
      <c r="U16" s="4"/>
    </row>
    <row r="17" spans="1:21" ht="32">
      <c r="A17" s="11" t="s">
        <v>74</v>
      </c>
      <c r="B17" s="3" t="str">
        <f t="shared" si="0"/>
        <v>assessment-1.4.1</v>
      </c>
      <c r="C17" s="3" t="str">
        <f t="shared" si="1"/>
        <v>I. Impegnarsi | Domanda 1.4.1</v>
      </c>
      <c r="D17" s="4" t="s">
        <v>27</v>
      </c>
      <c r="E17" s="6" t="s">
        <v>75</v>
      </c>
      <c r="F17" s="4"/>
      <c r="G17" s="3" t="s">
        <v>37</v>
      </c>
      <c r="H17" s="30"/>
      <c r="I17" s="4" t="b">
        <v>0</v>
      </c>
      <c r="J17" s="4">
        <v>1</v>
      </c>
      <c r="K17" s="4"/>
      <c r="L17" s="4"/>
      <c r="M17" s="3"/>
      <c r="N17" s="4" t="b">
        <v>0</v>
      </c>
      <c r="O17" s="4"/>
      <c r="P17" s="4"/>
      <c r="Q17" s="4"/>
      <c r="R17" s="4"/>
      <c r="S17" s="3" t="s">
        <v>76</v>
      </c>
      <c r="T17" s="4" t="s">
        <v>77</v>
      </c>
      <c r="U17" s="4"/>
    </row>
    <row r="18" spans="1:21" ht="48">
      <c r="A18" s="11" t="s">
        <v>78</v>
      </c>
      <c r="B18" s="3" t="str">
        <f t="shared" si="0"/>
        <v>assessment-1.4.2</v>
      </c>
      <c r="C18" s="3" t="str">
        <f t="shared" si="1"/>
        <v>I. Impegnarsi | Domanda 1.4.2</v>
      </c>
      <c r="D18" s="4" t="s">
        <v>27</v>
      </c>
      <c r="E18" s="6" t="s">
        <v>79</v>
      </c>
      <c r="F18" s="4"/>
      <c r="G18" s="3" t="s">
        <v>37</v>
      </c>
      <c r="H18" s="30"/>
      <c r="I18" s="4" t="b">
        <v>0</v>
      </c>
      <c r="J18" s="4">
        <v>1</v>
      </c>
      <c r="K18" s="4"/>
      <c r="L18" s="4"/>
      <c r="M18" s="3"/>
      <c r="N18" s="4" t="b">
        <v>0</v>
      </c>
      <c r="O18" s="4"/>
      <c r="P18" s="4"/>
      <c r="Q18" s="4"/>
      <c r="R18" s="4"/>
      <c r="S18" s="3" t="s">
        <v>80</v>
      </c>
      <c r="T18" s="4" t="s">
        <v>81</v>
      </c>
      <c r="U18" s="4"/>
    </row>
    <row r="19" spans="1:21" ht="80">
      <c r="A19" s="11" t="s">
        <v>82</v>
      </c>
      <c r="B19" s="3" t="str">
        <f t="shared" si="0"/>
        <v>assessment-1.4.3</v>
      </c>
      <c r="C19" s="3" t="str">
        <f t="shared" si="1"/>
        <v>I. Impegnarsi | Domanda 1.4.3</v>
      </c>
      <c r="D19" s="4" t="s">
        <v>27</v>
      </c>
      <c r="E19" s="6" t="s">
        <v>83</v>
      </c>
      <c r="F19" s="4"/>
      <c r="G19" s="3" t="s">
        <v>37</v>
      </c>
      <c r="H19" s="30"/>
      <c r="I19" s="4" t="b">
        <v>0</v>
      </c>
      <c r="J19" s="4">
        <v>1</v>
      </c>
      <c r="K19" s="4"/>
      <c r="L19" s="4"/>
      <c r="M19" s="3"/>
      <c r="N19" s="4" t="b">
        <v>0</v>
      </c>
      <c r="O19" s="4"/>
      <c r="P19" s="4"/>
      <c r="Q19" s="4"/>
      <c r="R19" s="4"/>
      <c r="S19" s="3" t="s">
        <v>84</v>
      </c>
      <c r="T19" s="4" t="s">
        <v>85</v>
      </c>
      <c r="U19" s="4"/>
    </row>
    <row r="20" spans="1:21" ht="48">
      <c r="A20" s="11" t="s">
        <v>86</v>
      </c>
      <c r="B20" s="3" t="str">
        <f t="shared" si="0"/>
        <v>assessment-1.4.4</v>
      </c>
      <c r="C20" s="3" t="str">
        <f t="shared" si="1"/>
        <v>I. Impegnarsi | Domanda 1.4.4</v>
      </c>
      <c r="D20" s="4" t="s">
        <v>27</v>
      </c>
      <c r="E20" s="6" t="s">
        <v>87</v>
      </c>
      <c r="F20" s="4"/>
      <c r="G20" s="3" t="s">
        <v>37</v>
      </c>
      <c r="H20" s="30"/>
      <c r="I20" s="4" t="b">
        <v>0</v>
      </c>
      <c r="J20" s="4">
        <v>1</v>
      </c>
      <c r="K20" s="4"/>
      <c r="L20" s="4"/>
      <c r="M20" s="3"/>
      <c r="N20" s="4" t="b">
        <v>0</v>
      </c>
      <c r="O20" s="4"/>
      <c r="P20" s="4"/>
      <c r="Q20" s="4"/>
      <c r="R20" s="4"/>
      <c r="S20" s="3" t="s">
        <v>88</v>
      </c>
      <c r="T20" s="4" t="s">
        <v>89</v>
      </c>
      <c r="U20" s="4"/>
    </row>
    <row r="21" spans="1:21" ht="48">
      <c r="A21" s="11" t="s">
        <v>90</v>
      </c>
      <c r="B21" s="3" t="str">
        <f t="shared" si="0"/>
        <v>assessment-1.5.1</v>
      </c>
      <c r="C21" s="3" t="str">
        <f t="shared" si="1"/>
        <v>I. Impegnarsi | Domanda 1.5.1</v>
      </c>
      <c r="D21" s="4" t="s">
        <v>27</v>
      </c>
      <c r="E21" s="6" t="s">
        <v>91</v>
      </c>
      <c r="F21" s="4"/>
      <c r="G21" s="3" t="s">
        <v>37</v>
      </c>
      <c r="H21" s="30"/>
      <c r="I21" s="4" t="b">
        <v>0</v>
      </c>
      <c r="J21" s="4">
        <v>1</v>
      </c>
      <c r="K21" s="4"/>
      <c r="L21" s="4"/>
      <c r="M21" s="3"/>
      <c r="N21" s="4" t="b">
        <v>0</v>
      </c>
      <c r="O21" s="4"/>
      <c r="P21" s="4" t="s">
        <v>92</v>
      </c>
      <c r="Q21" s="4"/>
      <c r="R21" s="4"/>
      <c r="S21" s="3" t="s">
        <v>93</v>
      </c>
      <c r="T21" s="4" t="s">
        <v>94</v>
      </c>
      <c r="U21" s="4"/>
    </row>
    <row r="22" spans="1:21" ht="208">
      <c r="A22" s="11" t="s">
        <v>95</v>
      </c>
      <c r="B22" s="3" t="str">
        <f t="shared" si="0"/>
        <v>assessment-1.5.2</v>
      </c>
      <c r="C22" s="3" t="str">
        <f t="shared" si="1"/>
        <v>I. Impegnarsi | Domanda 1.5.2</v>
      </c>
      <c r="D22" s="4" t="s">
        <v>27</v>
      </c>
      <c r="E22" s="6" t="s">
        <v>96</v>
      </c>
      <c r="F22" s="4"/>
      <c r="G22" s="3" t="s">
        <v>37</v>
      </c>
      <c r="H22" s="30"/>
      <c r="I22" s="4" t="b">
        <v>0</v>
      </c>
      <c r="J22" s="4">
        <v>1</v>
      </c>
      <c r="K22" s="4"/>
      <c r="L22" s="4" t="s">
        <v>97</v>
      </c>
      <c r="M22" s="3"/>
      <c r="N22" s="4" t="b">
        <v>0</v>
      </c>
      <c r="O22" s="4"/>
      <c r="P22" s="4"/>
      <c r="Q22" s="4"/>
      <c r="R22" s="4"/>
      <c r="S22" s="3" t="s">
        <v>98</v>
      </c>
      <c r="T22" s="4" t="s">
        <v>99</v>
      </c>
      <c r="U22" s="4"/>
    </row>
    <row r="23" spans="1:21" ht="48">
      <c r="A23" s="11" t="s">
        <v>100</v>
      </c>
      <c r="B23" s="3" t="str">
        <f t="shared" si="0"/>
        <v>assessment-1.6.1</v>
      </c>
      <c r="C23" s="3" t="str">
        <f t="shared" si="1"/>
        <v>I. Impegnarsi | Domanda 1.6.1</v>
      </c>
      <c r="D23" s="4" t="s">
        <v>27</v>
      </c>
      <c r="E23" s="6" t="s">
        <v>101</v>
      </c>
      <c r="F23" s="4"/>
      <c r="G23" s="3" t="s">
        <v>37</v>
      </c>
      <c r="H23" s="30"/>
      <c r="I23" s="4" t="b">
        <v>0</v>
      </c>
      <c r="J23" s="4">
        <v>1</v>
      </c>
      <c r="K23" s="4"/>
      <c r="L23" s="4"/>
      <c r="M23" s="7" t="s">
        <v>102</v>
      </c>
      <c r="N23" s="4" t="b">
        <v>0</v>
      </c>
      <c r="O23" s="4"/>
      <c r="P23" s="4" t="s">
        <v>103</v>
      </c>
      <c r="Q23" s="4"/>
      <c r="R23" s="4"/>
      <c r="S23" s="3" t="s">
        <v>104</v>
      </c>
      <c r="T23" s="4" t="s">
        <v>105</v>
      </c>
      <c r="U23" s="4" t="s">
        <v>106</v>
      </c>
    </row>
    <row r="24" spans="1:21" ht="32">
      <c r="A24" s="11" t="s">
        <v>107</v>
      </c>
      <c r="B24" s="3" t="str">
        <f t="shared" si="0"/>
        <v>assessment-1.6.2</v>
      </c>
      <c r="C24" s="3" t="str">
        <f t="shared" si="1"/>
        <v>I. Impegnarsi | Domanda 1.6.2</v>
      </c>
      <c r="D24" s="4" t="s">
        <v>27</v>
      </c>
      <c r="E24" s="6" t="s">
        <v>108</v>
      </c>
      <c r="F24" s="4"/>
      <c r="G24" s="3" t="s">
        <v>37</v>
      </c>
      <c r="H24" s="30"/>
      <c r="I24" s="4" t="b">
        <v>0</v>
      </c>
      <c r="J24" s="4">
        <v>1</v>
      </c>
      <c r="K24" s="4"/>
      <c r="L24" s="4"/>
      <c r="M24" s="3"/>
      <c r="N24" s="4" t="b">
        <v>0</v>
      </c>
      <c r="O24" s="4"/>
      <c r="P24" s="4"/>
      <c r="Q24" s="4"/>
      <c r="R24" s="4"/>
      <c r="S24" s="3" t="s">
        <v>109</v>
      </c>
      <c r="T24" s="4" t="s">
        <v>110</v>
      </c>
      <c r="U24" s="4"/>
    </row>
    <row r="25" spans="1:21" ht="32">
      <c r="A25" s="11" t="s">
        <v>111</v>
      </c>
      <c r="B25" s="3" t="str">
        <f t="shared" si="0"/>
        <v>assessment-1.6.3</v>
      </c>
      <c r="C25" s="3" t="str">
        <f t="shared" si="1"/>
        <v>I. Impegnarsi | Domanda 1.6.3</v>
      </c>
      <c r="D25" s="4" t="s">
        <v>27</v>
      </c>
      <c r="E25" s="6" t="s">
        <v>112</v>
      </c>
      <c r="F25" s="4"/>
      <c r="G25" s="3" t="s">
        <v>37</v>
      </c>
      <c r="H25" s="31"/>
      <c r="I25" s="4" t="b">
        <v>0</v>
      </c>
      <c r="J25" s="4">
        <v>1</v>
      </c>
      <c r="K25" s="4"/>
      <c r="L25" s="4"/>
      <c r="M25" s="3"/>
      <c r="N25" s="4" t="b">
        <v>0</v>
      </c>
      <c r="O25" s="4"/>
      <c r="P25" s="4"/>
      <c r="Q25" s="4"/>
      <c r="R25" s="4"/>
      <c r="S25" s="3" t="s">
        <v>113</v>
      </c>
      <c r="T25" s="4" t="s">
        <v>114</v>
      </c>
      <c r="U25" s="4"/>
    </row>
    <row r="26" spans="1:21" ht="32">
      <c r="A26" s="11" t="s">
        <v>115</v>
      </c>
      <c r="B26" s="3" t="str">
        <f t="shared" si="0"/>
        <v>assessment-1.6.4</v>
      </c>
      <c r="C26" s="3" t="str">
        <f t="shared" si="1"/>
        <v>I. Impegnarsi | Domanda 1.6.4</v>
      </c>
      <c r="D26" s="4" t="s">
        <v>27</v>
      </c>
      <c r="E26" s="6" t="s">
        <v>116</v>
      </c>
      <c r="F26" s="4"/>
      <c r="G26" s="3" t="s">
        <v>37</v>
      </c>
      <c r="H26" s="4"/>
      <c r="I26" s="4" t="b">
        <v>0</v>
      </c>
      <c r="J26" s="4">
        <v>1</v>
      </c>
      <c r="K26" s="4"/>
      <c r="L26" s="4"/>
      <c r="M26" s="3"/>
      <c r="N26" s="4" t="b">
        <v>0</v>
      </c>
      <c r="O26" s="4"/>
      <c r="P26" s="4"/>
      <c r="Q26" s="4"/>
      <c r="R26" s="4"/>
      <c r="S26" s="3" t="s">
        <v>117</v>
      </c>
      <c r="T26" s="4" t="s">
        <v>118</v>
      </c>
      <c r="U26" s="4"/>
    </row>
    <row r="27" spans="1:21" ht="64">
      <c r="A27" s="12" t="s">
        <v>119</v>
      </c>
      <c r="B27" s="3" t="str">
        <f t="shared" si="0"/>
        <v>assessment-1.6.5</v>
      </c>
      <c r="C27" s="3" t="str">
        <f t="shared" si="1"/>
        <v>I. Impegnarsi | Domanda 1.6.5</v>
      </c>
      <c r="D27" s="4" t="s">
        <v>27</v>
      </c>
      <c r="E27" s="6" t="s">
        <v>120</v>
      </c>
      <c r="F27" s="13"/>
      <c r="G27" s="3" t="s">
        <v>37</v>
      </c>
      <c r="H27" s="13"/>
      <c r="I27" s="4" t="b">
        <v>0</v>
      </c>
      <c r="J27" s="4">
        <v>1</v>
      </c>
      <c r="K27" s="14"/>
      <c r="L27" s="13"/>
      <c r="M27" s="13"/>
      <c r="N27" s="4" t="b">
        <v>0</v>
      </c>
      <c r="O27" s="13"/>
      <c r="P27" s="13"/>
      <c r="Q27" s="14"/>
      <c r="R27" s="13"/>
      <c r="S27" s="13" t="s">
        <v>121</v>
      </c>
      <c r="T27" s="14" t="s">
        <v>122</v>
      </c>
      <c r="U27" s="13"/>
    </row>
    <row r="28" spans="1:21" ht="64">
      <c r="A28" s="11" t="s">
        <v>123</v>
      </c>
      <c r="B28" s="3" t="str">
        <f t="shared" si="0"/>
        <v>assessment-2.1</v>
      </c>
      <c r="C28" s="3" t="str">
        <f t="shared" si="1"/>
        <v>II. Valutare | Domanda 2.1</v>
      </c>
      <c r="D28" s="4" t="s">
        <v>27</v>
      </c>
      <c r="E28" s="6" t="s">
        <v>124</v>
      </c>
      <c r="F28" s="4"/>
      <c r="G28" s="3" t="s">
        <v>125</v>
      </c>
      <c r="H28" s="29" t="s">
        <v>126</v>
      </c>
      <c r="I28" s="4" t="b">
        <v>0</v>
      </c>
      <c r="J28" s="4">
        <v>1</v>
      </c>
      <c r="K28" s="4"/>
      <c r="L28" s="4"/>
      <c r="M28" s="3"/>
      <c r="N28" s="4" t="b">
        <v>0</v>
      </c>
      <c r="O28" s="2"/>
      <c r="P28" s="2" t="s">
        <v>127</v>
      </c>
      <c r="Q28" s="4"/>
      <c r="R28" s="4"/>
      <c r="S28" s="3" t="s">
        <v>123</v>
      </c>
      <c r="T28" s="4" t="s">
        <v>128</v>
      </c>
      <c r="U28" s="4" t="s">
        <v>129</v>
      </c>
    </row>
    <row r="29" spans="1:21" ht="48">
      <c r="A29" s="11" t="s">
        <v>130</v>
      </c>
      <c r="B29" s="3" t="str">
        <f t="shared" si="0"/>
        <v>assessment-2.1.2</v>
      </c>
      <c r="C29" s="3" t="str">
        <f t="shared" si="1"/>
        <v>II. Valutare | Domanda 2.1.2</v>
      </c>
      <c r="D29" s="4" t="s">
        <v>27</v>
      </c>
      <c r="E29" s="6" t="s">
        <v>131</v>
      </c>
      <c r="F29" s="4"/>
      <c r="G29" s="3" t="s">
        <v>125</v>
      </c>
      <c r="H29" s="30"/>
      <c r="I29" s="4" t="b">
        <v>0</v>
      </c>
      <c r="J29" s="4">
        <v>1</v>
      </c>
      <c r="K29" s="4"/>
      <c r="L29" s="4"/>
      <c r="M29" s="3"/>
      <c r="N29" s="4" t="b">
        <v>0</v>
      </c>
      <c r="O29" s="4"/>
      <c r="P29" s="4"/>
      <c r="Q29" s="4"/>
      <c r="R29" s="4"/>
      <c r="S29" s="3" t="s">
        <v>132</v>
      </c>
      <c r="T29" s="4" t="s">
        <v>133</v>
      </c>
      <c r="U29" s="4"/>
    </row>
    <row r="30" spans="1:21" ht="160">
      <c r="A30" s="11" t="s">
        <v>134</v>
      </c>
      <c r="B30" s="3" t="str">
        <f t="shared" si="0"/>
        <v>assessment-2.1.3</v>
      </c>
      <c r="C30" s="3" t="str">
        <f t="shared" si="1"/>
        <v>II. Valutare | Domanda 2.1.3</v>
      </c>
      <c r="D30" s="4" t="s">
        <v>27</v>
      </c>
      <c r="E30" s="6" t="s">
        <v>135</v>
      </c>
      <c r="F30" s="4"/>
      <c r="G30" s="3" t="s">
        <v>125</v>
      </c>
      <c r="H30" s="30"/>
      <c r="I30" s="4" t="b">
        <v>0</v>
      </c>
      <c r="J30" s="4">
        <v>1</v>
      </c>
      <c r="K30" s="4" t="s">
        <v>136</v>
      </c>
      <c r="L30" s="4"/>
      <c r="M30" s="3"/>
      <c r="N30" s="4" t="b">
        <v>0</v>
      </c>
      <c r="O30" s="4"/>
      <c r="P30" s="4"/>
      <c r="Q30" s="4"/>
      <c r="R30" s="4"/>
      <c r="S30" s="3" t="s">
        <v>123</v>
      </c>
      <c r="T30" s="4" t="s">
        <v>137</v>
      </c>
      <c r="U30" s="4" t="s">
        <v>138</v>
      </c>
    </row>
    <row r="31" spans="1:21" ht="96">
      <c r="A31" s="11" t="s">
        <v>139</v>
      </c>
      <c r="B31" s="3" t="str">
        <f t="shared" si="0"/>
        <v>assessment-2.2.1</v>
      </c>
      <c r="C31" s="3" t="str">
        <f t="shared" si="1"/>
        <v>II. Valutare | Domanda 2.2.1</v>
      </c>
      <c r="D31" s="4" t="s">
        <v>27</v>
      </c>
      <c r="E31" s="6" t="s">
        <v>140</v>
      </c>
      <c r="F31" s="15"/>
      <c r="G31" s="3" t="s">
        <v>125</v>
      </c>
      <c r="H31" s="30"/>
      <c r="I31" s="4" t="b">
        <v>0</v>
      </c>
      <c r="J31" s="4">
        <v>1</v>
      </c>
      <c r="K31" s="4" t="s">
        <v>141</v>
      </c>
      <c r="L31" s="4" t="s">
        <v>142</v>
      </c>
      <c r="M31" s="7" t="s">
        <v>143</v>
      </c>
      <c r="N31" s="4" t="b">
        <v>0</v>
      </c>
      <c r="O31" s="4"/>
      <c r="P31" s="4" t="s">
        <v>144</v>
      </c>
      <c r="Q31" s="4"/>
      <c r="R31" s="15"/>
      <c r="S31" s="3">
        <v>2</v>
      </c>
      <c r="T31" s="2" t="s">
        <v>145</v>
      </c>
      <c r="U31" s="4" t="s">
        <v>146</v>
      </c>
    </row>
    <row r="32" spans="1:21" ht="64">
      <c r="A32" s="11" t="s">
        <v>147</v>
      </c>
      <c r="B32" s="3" t="str">
        <f t="shared" si="0"/>
        <v>assessment-2.2.2</v>
      </c>
      <c r="C32" s="3" t="str">
        <f t="shared" si="1"/>
        <v>II. Valutare | Domanda 2.2.2</v>
      </c>
      <c r="D32" s="4" t="s">
        <v>27</v>
      </c>
      <c r="E32" s="6" t="s">
        <v>148</v>
      </c>
      <c r="F32" s="4"/>
      <c r="G32" s="3" t="s">
        <v>125</v>
      </c>
      <c r="H32" s="30"/>
      <c r="I32" s="4" t="b">
        <v>0</v>
      </c>
      <c r="J32" s="4">
        <v>1</v>
      </c>
      <c r="K32" s="4"/>
      <c r="L32" s="4"/>
      <c r="M32" s="3"/>
      <c r="N32" s="4" t="b">
        <v>0</v>
      </c>
      <c r="O32" s="2"/>
      <c r="P32" s="2"/>
      <c r="Q32" s="4" t="s">
        <v>149</v>
      </c>
      <c r="R32" s="4" t="s">
        <v>150</v>
      </c>
      <c r="S32" s="3" t="s">
        <v>132</v>
      </c>
      <c r="T32" s="4" t="s">
        <v>151</v>
      </c>
      <c r="U32" s="4"/>
    </row>
    <row r="33" spans="1:21" ht="80">
      <c r="A33" s="11" t="s">
        <v>152</v>
      </c>
      <c r="B33" s="3" t="str">
        <f t="shared" si="0"/>
        <v>assessment-2.2.3</v>
      </c>
      <c r="C33" s="3" t="str">
        <f t="shared" si="1"/>
        <v>II. Valutare | Domanda 2.2.3</v>
      </c>
      <c r="D33" s="4" t="s">
        <v>27</v>
      </c>
      <c r="E33" s="6" t="s">
        <v>153</v>
      </c>
      <c r="F33" s="4"/>
      <c r="G33" s="3" t="s">
        <v>125</v>
      </c>
      <c r="H33" s="30"/>
      <c r="I33" s="4" t="b">
        <v>0</v>
      </c>
      <c r="J33" s="4">
        <v>1</v>
      </c>
      <c r="K33" s="4"/>
      <c r="L33" s="4"/>
      <c r="M33" s="3"/>
      <c r="N33" s="4" t="b">
        <v>0</v>
      </c>
      <c r="O33" s="4"/>
      <c r="P33" s="4"/>
      <c r="Q33" s="4" t="s">
        <v>154</v>
      </c>
      <c r="R33" s="4" t="s">
        <v>150</v>
      </c>
      <c r="S33" s="3" t="s">
        <v>132</v>
      </c>
      <c r="T33" s="4" t="s">
        <v>155</v>
      </c>
      <c r="U33" s="4"/>
    </row>
    <row r="34" spans="1:21" ht="272">
      <c r="A34" s="11" t="s">
        <v>156</v>
      </c>
      <c r="B34" s="3" t="str">
        <f t="shared" si="0"/>
        <v>assessment-2.2.4.1</v>
      </c>
      <c r="C34" s="3" t="str">
        <f t="shared" si="1"/>
        <v>II. Valutare | Domanda 2.2.4.1</v>
      </c>
      <c r="D34" s="4" t="s">
        <v>27</v>
      </c>
      <c r="E34" s="6" t="s">
        <v>157</v>
      </c>
      <c r="F34" s="4"/>
      <c r="G34" s="3" t="s">
        <v>125</v>
      </c>
      <c r="H34" s="30"/>
      <c r="I34" s="4" t="b">
        <v>0</v>
      </c>
      <c r="J34" s="4">
        <v>1</v>
      </c>
      <c r="K34" s="4" t="s">
        <v>158</v>
      </c>
      <c r="L34" s="4"/>
      <c r="M34" s="3"/>
      <c r="N34" s="4" t="b">
        <v>0</v>
      </c>
      <c r="O34" s="4"/>
      <c r="P34" s="4"/>
      <c r="Q34" s="4" t="s">
        <v>159</v>
      </c>
      <c r="R34" s="4"/>
      <c r="S34" s="3" t="s">
        <v>160</v>
      </c>
      <c r="T34" s="4" t="s">
        <v>161</v>
      </c>
      <c r="U34" s="4"/>
    </row>
    <row r="35" spans="1:21" ht="89.25" customHeight="1">
      <c r="A35" s="11" t="s">
        <v>162</v>
      </c>
      <c r="B35" s="3" t="str">
        <f t="shared" si="0"/>
        <v>assessment-2.2.4.2</v>
      </c>
      <c r="C35" s="3" t="str">
        <f t="shared" si="1"/>
        <v>II. Valutare | Domanda 2.2.4.2</v>
      </c>
      <c r="D35" s="4" t="s">
        <v>27</v>
      </c>
      <c r="E35" s="6" t="s">
        <v>163</v>
      </c>
      <c r="F35" s="4"/>
      <c r="G35" s="3" t="s">
        <v>125</v>
      </c>
      <c r="H35" s="30"/>
      <c r="I35" s="4" t="b">
        <v>0</v>
      </c>
      <c r="J35" s="4">
        <v>1</v>
      </c>
      <c r="K35" s="4" t="s">
        <v>164</v>
      </c>
      <c r="L35" s="4"/>
      <c r="M35" s="3"/>
      <c r="N35" s="4" t="b">
        <v>0</v>
      </c>
      <c r="O35" s="4"/>
      <c r="P35" s="4"/>
      <c r="Q35" s="4" t="s">
        <v>165</v>
      </c>
      <c r="R35" s="4" t="s">
        <v>150</v>
      </c>
      <c r="S35" s="3"/>
      <c r="T35" s="4"/>
      <c r="U35" s="4"/>
    </row>
    <row r="36" spans="1:21" ht="64">
      <c r="A36" s="11" t="s">
        <v>166</v>
      </c>
      <c r="B36" s="3" t="str">
        <f t="shared" si="0"/>
        <v>assessment-2.2.5</v>
      </c>
      <c r="C36" s="3" t="str">
        <f t="shared" si="1"/>
        <v>II. Valutare | Domanda 2.2.5</v>
      </c>
      <c r="D36" s="4" t="s">
        <v>27</v>
      </c>
      <c r="E36" s="6" t="s">
        <v>167</v>
      </c>
      <c r="F36" s="4"/>
      <c r="G36" s="3" t="s">
        <v>125</v>
      </c>
      <c r="H36" s="30"/>
      <c r="I36" s="4" t="b">
        <v>0</v>
      </c>
      <c r="J36" s="4">
        <v>1</v>
      </c>
      <c r="K36" s="4"/>
      <c r="L36" s="4"/>
      <c r="M36" s="3"/>
      <c r="N36" s="4" t="b">
        <v>0</v>
      </c>
      <c r="O36" s="4"/>
      <c r="P36" s="4"/>
      <c r="Q36" s="4" t="s">
        <v>154</v>
      </c>
      <c r="R36" s="4" t="s">
        <v>150</v>
      </c>
      <c r="S36" s="3" t="s">
        <v>168</v>
      </c>
      <c r="T36" s="4" t="s">
        <v>169</v>
      </c>
      <c r="U36" s="4"/>
    </row>
    <row r="37" spans="1:21" ht="48">
      <c r="A37" s="11" t="s">
        <v>170</v>
      </c>
      <c r="B37" s="3" t="str">
        <f t="shared" si="0"/>
        <v>assessment-2.2.6</v>
      </c>
      <c r="C37" s="3" t="str">
        <f t="shared" si="1"/>
        <v>II. Valutare | Domanda 2.2.6</v>
      </c>
      <c r="D37" s="4" t="s">
        <v>27</v>
      </c>
      <c r="E37" s="6" t="s">
        <v>171</v>
      </c>
      <c r="F37" s="4"/>
      <c r="G37" s="3" t="s">
        <v>125</v>
      </c>
      <c r="H37" s="30"/>
      <c r="I37" s="4" t="b">
        <v>0</v>
      </c>
      <c r="J37" s="4">
        <v>1</v>
      </c>
      <c r="K37" s="4"/>
      <c r="L37" s="4"/>
      <c r="M37" s="3"/>
      <c r="N37" s="4" t="b">
        <v>0</v>
      </c>
      <c r="O37" s="4"/>
      <c r="P37" s="4"/>
      <c r="Q37" s="4" t="s">
        <v>154</v>
      </c>
      <c r="R37" s="4" t="s">
        <v>150</v>
      </c>
      <c r="S37" s="3" t="s">
        <v>172</v>
      </c>
      <c r="T37" s="4" t="s">
        <v>173</v>
      </c>
      <c r="U37" s="4"/>
    </row>
    <row r="38" spans="1:21" ht="335">
      <c r="A38" s="11" t="s">
        <v>174</v>
      </c>
      <c r="B38" s="3" t="str">
        <f t="shared" si="0"/>
        <v>assessment-2.2.7</v>
      </c>
      <c r="C38" s="3" t="str">
        <f t="shared" si="1"/>
        <v>II. Valutare | Domanda 2.2.7</v>
      </c>
      <c r="D38" s="4" t="s">
        <v>27</v>
      </c>
      <c r="E38" s="6" t="s">
        <v>175</v>
      </c>
      <c r="F38" s="4"/>
      <c r="G38" s="3" t="s">
        <v>125</v>
      </c>
      <c r="H38" s="30"/>
      <c r="I38" s="4" t="b">
        <v>0</v>
      </c>
      <c r="J38" s="4">
        <v>1</v>
      </c>
      <c r="K38" s="4" t="s">
        <v>176</v>
      </c>
      <c r="L38" s="4"/>
      <c r="M38" s="3"/>
      <c r="N38" s="4" t="b">
        <v>0</v>
      </c>
      <c r="O38" s="4"/>
      <c r="P38" s="4"/>
      <c r="Q38" s="4" t="s">
        <v>154</v>
      </c>
      <c r="R38" s="4" t="s">
        <v>150</v>
      </c>
      <c r="S38" s="3" t="s">
        <v>177</v>
      </c>
      <c r="T38" s="4" t="s">
        <v>178</v>
      </c>
      <c r="U38" s="4"/>
    </row>
    <row r="39" spans="1:21" ht="380">
      <c r="A39" s="11" t="s">
        <v>179</v>
      </c>
      <c r="B39" s="3" t="str">
        <f t="shared" si="0"/>
        <v>assessment-2.2.8</v>
      </c>
      <c r="C39" s="3" t="str">
        <f t="shared" si="1"/>
        <v>II. Valutare | Domanda 2.2.8</v>
      </c>
      <c r="D39" s="4" t="s">
        <v>27</v>
      </c>
      <c r="E39" s="6" t="s">
        <v>180</v>
      </c>
      <c r="F39" s="4"/>
      <c r="G39" s="3" t="s">
        <v>125</v>
      </c>
      <c r="H39" s="30"/>
      <c r="I39" s="4" t="b">
        <v>0</v>
      </c>
      <c r="J39" s="4">
        <v>1</v>
      </c>
      <c r="K39" s="4" t="s">
        <v>181</v>
      </c>
      <c r="L39" s="4"/>
      <c r="M39" s="3"/>
      <c r="N39" s="4" t="b">
        <v>0</v>
      </c>
      <c r="O39" s="4"/>
      <c r="P39" s="4"/>
      <c r="Q39" s="4" t="s">
        <v>154</v>
      </c>
      <c r="R39" s="4" t="s">
        <v>150</v>
      </c>
      <c r="S39" s="3" t="s">
        <v>182</v>
      </c>
      <c r="T39" s="4" t="s">
        <v>183</v>
      </c>
      <c r="U39" s="4"/>
    </row>
    <row r="40" spans="1:21" ht="96">
      <c r="A40" s="11" t="s">
        <v>184</v>
      </c>
      <c r="B40" s="3" t="str">
        <f t="shared" si="0"/>
        <v>assessment-2.2.9</v>
      </c>
      <c r="C40" s="3" t="str">
        <f t="shared" si="1"/>
        <v>II. Valutare | Domanda 2.2.9</v>
      </c>
      <c r="D40" s="4" t="s">
        <v>27</v>
      </c>
      <c r="E40" s="6" t="s">
        <v>185</v>
      </c>
      <c r="F40" s="4"/>
      <c r="G40" s="3" t="s">
        <v>125</v>
      </c>
      <c r="H40" s="31"/>
      <c r="I40" s="4" t="b">
        <v>0</v>
      </c>
      <c r="J40" s="4">
        <v>1</v>
      </c>
      <c r="K40" s="4"/>
      <c r="L40" s="4"/>
      <c r="M40" s="3"/>
      <c r="N40" s="4" t="b">
        <v>0</v>
      </c>
      <c r="O40" s="4"/>
      <c r="P40" s="4"/>
      <c r="Q40" s="4" t="s">
        <v>154</v>
      </c>
      <c r="R40" s="4" t="s">
        <v>150</v>
      </c>
      <c r="S40" s="3" t="s">
        <v>186</v>
      </c>
      <c r="T40" s="4" t="s">
        <v>187</v>
      </c>
      <c r="U40" s="4" t="s">
        <v>188</v>
      </c>
    </row>
    <row r="41" spans="1:21" ht="80">
      <c r="A41" s="11" t="s">
        <v>60</v>
      </c>
      <c r="B41" s="3" t="str">
        <f t="shared" si="0"/>
        <v>assessment-3.1</v>
      </c>
      <c r="C41" s="3" t="str">
        <f t="shared" si="1"/>
        <v>III. Agire | Domanda 3.1</v>
      </c>
      <c r="D41" s="4" t="s">
        <v>27</v>
      </c>
      <c r="E41" s="6" t="s">
        <v>189</v>
      </c>
      <c r="F41" s="4"/>
      <c r="G41" s="3" t="s">
        <v>190</v>
      </c>
      <c r="H41" s="29" t="s">
        <v>191</v>
      </c>
      <c r="I41" s="4" t="b">
        <v>0</v>
      </c>
      <c r="J41" s="4">
        <v>1</v>
      </c>
      <c r="K41" s="4"/>
      <c r="L41" s="4"/>
      <c r="M41" s="3"/>
      <c r="N41" s="4" t="b">
        <v>0</v>
      </c>
      <c r="O41" s="16"/>
      <c r="P41" s="16" t="s">
        <v>192</v>
      </c>
      <c r="Q41" s="4" t="s">
        <v>154</v>
      </c>
      <c r="R41" s="4" t="s">
        <v>150</v>
      </c>
      <c r="S41" s="3">
        <v>1</v>
      </c>
      <c r="T41" s="4" t="s">
        <v>193</v>
      </c>
      <c r="U41" s="4"/>
    </row>
    <row r="42" spans="1:21" ht="48">
      <c r="A42" s="11" t="s">
        <v>65</v>
      </c>
      <c r="B42" s="3" t="str">
        <f t="shared" si="0"/>
        <v>assessment-3.2</v>
      </c>
      <c r="C42" s="3" t="str">
        <f t="shared" si="1"/>
        <v>III. Agire | Domanda 3.2</v>
      </c>
      <c r="D42" s="4" t="s">
        <v>27</v>
      </c>
      <c r="E42" s="6" t="s">
        <v>194</v>
      </c>
      <c r="F42" s="4"/>
      <c r="G42" s="3" t="s">
        <v>190</v>
      </c>
      <c r="H42" s="30"/>
      <c r="I42" s="4" t="b">
        <v>0</v>
      </c>
      <c r="J42" s="4">
        <v>1</v>
      </c>
      <c r="K42" s="4" t="s">
        <v>195</v>
      </c>
      <c r="L42" s="4"/>
      <c r="M42" s="3"/>
      <c r="N42" s="4" t="b">
        <v>0</v>
      </c>
      <c r="O42" s="4"/>
      <c r="P42" s="4"/>
      <c r="Q42" s="4"/>
      <c r="R42" s="4"/>
      <c r="S42" s="3">
        <v>2</v>
      </c>
      <c r="T42" s="4" t="s">
        <v>196</v>
      </c>
      <c r="U42" s="4"/>
    </row>
    <row r="43" spans="1:21" ht="256">
      <c r="A43" s="11" t="s">
        <v>69</v>
      </c>
      <c r="B43" s="3" t="str">
        <f t="shared" si="0"/>
        <v>assessment-3.3</v>
      </c>
      <c r="C43" s="3" t="str">
        <f t="shared" si="1"/>
        <v>III. Agire | Domanda 3.3</v>
      </c>
      <c r="D43" s="4" t="s">
        <v>27</v>
      </c>
      <c r="E43" s="6" t="s">
        <v>197</v>
      </c>
      <c r="F43" s="4"/>
      <c r="G43" s="3" t="s">
        <v>190</v>
      </c>
      <c r="H43" s="30"/>
      <c r="I43" s="4" t="b">
        <v>0</v>
      </c>
      <c r="J43" s="4">
        <v>1</v>
      </c>
      <c r="K43" s="4" t="s">
        <v>198</v>
      </c>
      <c r="L43" s="4"/>
      <c r="M43" s="3"/>
      <c r="N43" s="4" t="b">
        <v>0</v>
      </c>
      <c r="O43" s="4"/>
      <c r="P43" s="4"/>
      <c r="Q43" s="4" t="s">
        <v>154</v>
      </c>
      <c r="R43" s="4" t="s">
        <v>199</v>
      </c>
      <c r="S43" s="3">
        <v>3</v>
      </c>
      <c r="T43" s="4" t="s">
        <v>200</v>
      </c>
      <c r="U43" s="4"/>
    </row>
    <row r="44" spans="1:21" ht="176">
      <c r="A44" s="11" t="s">
        <v>201</v>
      </c>
      <c r="B44" s="3" t="str">
        <f t="shared" si="0"/>
        <v>assessment-3.4.1</v>
      </c>
      <c r="C44" s="3" t="str">
        <f t="shared" si="1"/>
        <v>III. Agire | Domanda 3.4.1</v>
      </c>
      <c r="D44" s="4" t="s">
        <v>27</v>
      </c>
      <c r="E44" s="6" t="s">
        <v>202</v>
      </c>
      <c r="F44" s="4"/>
      <c r="G44" s="3" t="s">
        <v>190</v>
      </c>
      <c r="H44" s="30"/>
      <c r="I44" s="4" t="b">
        <v>0</v>
      </c>
      <c r="J44" s="4">
        <v>1</v>
      </c>
      <c r="K44" s="4" t="s">
        <v>203</v>
      </c>
      <c r="L44" s="4"/>
      <c r="M44" s="3"/>
      <c r="N44" s="4" t="b">
        <v>0</v>
      </c>
      <c r="O44" s="4"/>
      <c r="P44" s="4" t="s">
        <v>204</v>
      </c>
      <c r="Q44" s="4"/>
      <c r="R44" s="4"/>
      <c r="S44" s="3" t="s">
        <v>93</v>
      </c>
      <c r="T44" s="4" t="s">
        <v>205</v>
      </c>
      <c r="U44" s="4"/>
    </row>
    <row r="45" spans="1:21" ht="80">
      <c r="A45" s="11" t="s">
        <v>206</v>
      </c>
      <c r="B45" s="3" t="str">
        <f t="shared" si="0"/>
        <v>assessment-3.4.2</v>
      </c>
      <c r="C45" s="3" t="str">
        <f t="shared" si="1"/>
        <v>III. Agire | Domanda 3.4.2</v>
      </c>
      <c r="D45" s="4" t="s">
        <v>27</v>
      </c>
      <c r="E45" s="6" t="s">
        <v>207</v>
      </c>
      <c r="F45" s="4"/>
      <c r="G45" s="3" t="s">
        <v>190</v>
      </c>
      <c r="H45" s="30"/>
      <c r="I45" s="4" t="b">
        <v>0</v>
      </c>
      <c r="J45" s="4">
        <v>1</v>
      </c>
      <c r="K45" s="4" t="s">
        <v>208</v>
      </c>
      <c r="L45" s="4"/>
      <c r="M45" s="3"/>
      <c r="N45" s="4" t="b">
        <v>0</v>
      </c>
      <c r="O45" s="4"/>
      <c r="P45" s="4"/>
      <c r="Q45" s="4"/>
      <c r="R45" s="4"/>
      <c r="S45" s="3" t="s">
        <v>98</v>
      </c>
      <c r="T45" s="4" t="s">
        <v>209</v>
      </c>
      <c r="U45" s="4"/>
    </row>
    <row r="46" spans="1:21" ht="64">
      <c r="A46" s="11" t="s">
        <v>210</v>
      </c>
      <c r="B46" s="3" t="str">
        <f t="shared" si="0"/>
        <v>assessment-3.4.3</v>
      </c>
      <c r="C46" s="3" t="str">
        <f t="shared" si="1"/>
        <v>III. Agire | Domanda 3.4.3</v>
      </c>
      <c r="D46" s="4" t="s">
        <v>27</v>
      </c>
      <c r="E46" s="6" t="s">
        <v>211</v>
      </c>
      <c r="F46" s="4"/>
      <c r="G46" s="3" t="s">
        <v>190</v>
      </c>
      <c r="H46" s="30"/>
      <c r="I46" s="4" t="b">
        <v>0</v>
      </c>
      <c r="J46" s="4">
        <v>1</v>
      </c>
      <c r="K46" s="4"/>
      <c r="L46" s="4"/>
      <c r="M46" s="3"/>
      <c r="N46" s="4" t="b">
        <v>0</v>
      </c>
      <c r="O46" s="4"/>
      <c r="P46" s="4" t="s">
        <v>212</v>
      </c>
      <c r="Q46" s="4"/>
      <c r="R46" s="4"/>
      <c r="S46" s="3" t="s">
        <v>213</v>
      </c>
      <c r="T46" s="4" t="s">
        <v>214</v>
      </c>
      <c r="U46" s="4"/>
    </row>
    <row r="47" spans="1:21" ht="48">
      <c r="A47" s="11" t="s">
        <v>215</v>
      </c>
      <c r="B47" s="3" t="str">
        <f t="shared" si="0"/>
        <v>assessment-3.4.4</v>
      </c>
      <c r="C47" s="3" t="str">
        <f t="shared" si="1"/>
        <v>III. Agire | Domanda 3.4.4</v>
      </c>
      <c r="D47" s="4" t="s">
        <v>27</v>
      </c>
      <c r="E47" s="6" t="s">
        <v>216</v>
      </c>
      <c r="F47" s="4"/>
      <c r="G47" s="3" t="s">
        <v>190</v>
      </c>
      <c r="H47" s="30"/>
      <c r="I47" s="4" t="b">
        <v>0</v>
      </c>
      <c r="J47" s="4">
        <v>1</v>
      </c>
      <c r="K47" s="4"/>
      <c r="L47" s="4"/>
      <c r="M47" s="3"/>
      <c r="N47" s="4" t="b">
        <v>0</v>
      </c>
      <c r="O47" s="4"/>
      <c r="P47" s="4"/>
      <c r="Q47" s="4"/>
      <c r="R47" s="4"/>
      <c r="S47" s="3" t="s">
        <v>217</v>
      </c>
      <c r="T47" s="4" t="s">
        <v>218</v>
      </c>
      <c r="U47" s="4"/>
    </row>
    <row r="48" spans="1:21" ht="48">
      <c r="A48" s="11" t="s">
        <v>219</v>
      </c>
      <c r="B48" s="3" t="str">
        <f t="shared" si="0"/>
        <v>assessment-3.4.5</v>
      </c>
      <c r="C48" s="3" t="str">
        <f t="shared" si="1"/>
        <v>III. Agire | Domanda 3.4.5</v>
      </c>
      <c r="D48" s="4" t="s">
        <v>27</v>
      </c>
      <c r="E48" s="6" t="s">
        <v>220</v>
      </c>
      <c r="F48" s="4"/>
      <c r="G48" s="3" t="s">
        <v>190</v>
      </c>
      <c r="H48" s="30"/>
      <c r="I48" s="4" t="b">
        <v>0</v>
      </c>
      <c r="J48" s="4">
        <v>1</v>
      </c>
      <c r="K48" s="4"/>
      <c r="L48" s="4"/>
      <c r="M48" s="3"/>
      <c r="N48" s="4" t="b">
        <v>0</v>
      </c>
      <c r="O48" s="4"/>
      <c r="P48" s="4"/>
      <c r="Q48" s="4"/>
      <c r="R48" s="4"/>
      <c r="S48" s="3" t="s">
        <v>221</v>
      </c>
      <c r="T48" s="4" t="s">
        <v>222</v>
      </c>
      <c r="U48" s="4"/>
    </row>
    <row r="49" spans="1:21" ht="112">
      <c r="A49" s="17" t="s">
        <v>223</v>
      </c>
      <c r="B49" s="3" t="str">
        <f t="shared" si="0"/>
        <v>assessment-3.5.1</v>
      </c>
      <c r="C49" s="3" t="str">
        <f t="shared" si="1"/>
        <v>III. Agire | Domanda 3.5.1</v>
      </c>
      <c r="D49" s="18" t="s">
        <v>27</v>
      </c>
      <c r="E49" s="6" t="s">
        <v>224</v>
      </c>
      <c r="F49" s="18"/>
      <c r="G49" s="3" t="s">
        <v>190</v>
      </c>
      <c r="H49" s="30"/>
      <c r="I49" s="18" t="b">
        <v>0</v>
      </c>
      <c r="J49" s="19">
        <v>1</v>
      </c>
      <c r="K49" s="18" t="s">
        <v>225</v>
      </c>
      <c r="L49" s="18"/>
      <c r="M49" s="20"/>
      <c r="N49" s="18" t="b">
        <v>1</v>
      </c>
      <c r="O49" s="18"/>
      <c r="P49" s="18" t="s">
        <v>226</v>
      </c>
      <c r="Q49" s="18"/>
      <c r="R49" s="18"/>
      <c r="S49" s="20" t="s">
        <v>227</v>
      </c>
      <c r="T49" s="18" t="s">
        <v>228</v>
      </c>
      <c r="U49" s="18"/>
    </row>
    <row r="50" spans="1:21" ht="144">
      <c r="A50" s="11" t="s">
        <v>229</v>
      </c>
      <c r="B50" s="3" t="str">
        <f t="shared" si="0"/>
        <v>assessment-3.5.2</v>
      </c>
      <c r="C50" s="3" t="str">
        <f t="shared" si="1"/>
        <v>III. Agire | Domanda 3.5.2</v>
      </c>
      <c r="D50" s="4" t="s">
        <v>27</v>
      </c>
      <c r="E50" s="6" t="s">
        <v>230</v>
      </c>
      <c r="F50" s="4"/>
      <c r="G50" s="3" t="s">
        <v>190</v>
      </c>
      <c r="H50" s="30"/>
      <c r="I50" s="4" t="b">
        <v>0</v>
      </c>
      <c r="J50" s="4">
        <v>1</v>
      </c>
      <c r="K50" s="4" t="s">
        <v>231</v>
      </c>
      <c r="L50" s="4"/>
      <c r="M50" s="3"/>
      <c r="N50" s="4" t="b">
        <v>0</v>
      </c>
      <c r="O50" s="4"/>
      <c r="P50" s="4"/>
      <c r="Q50" s="4"/>
      <c r="R50" s="4"/>
      <c r="S50" s="3" t="s">
        <v>232</v>
      </c>
      <c r="T50" s="4" t="s">
        <v>233</v>
      </c>
      <c r="U50" s="4"/>
    </row>
    <row r="51" spans="1:21" ht="64">
      <c r="A51" s="11" t="s">
        <v>234</v>
      </c>
      <c r="B51" s="3" t="str">
        <f t="shared" si="0"/>
        <v>assessment-3.6.1</v>
      </c>
      <c r="C51" s="3" t="str">
        <f t="shared" si="1"/>
        <v>III. Agire | Domanda 3.6.1</v>
      </c>
      <c r="D51" s="4" t="s">
        <v>27</v>
      </c>
      <c r="E51" s="6" t="s">
        <v>235</v>
      </c>
      <c r="F51" s="4"/>
      <c r="G51" s="3" t="s">
        <v>190</v>
      </c>
      <c r="H51" s="30"/>
      <c r="I51" s="4" t="b">
        <v>0</v>
      </c>
      <c r="J51" s="4">
        <v>1</v>
      </c>
      <c r="K51" s="4"/>
      <c r="L51" s="4"/>
      <c r="M51" s="3"/>
      <c r="N51" s="4" t="b">
        <v>0</v>
      </c>
      <c r="O51" s="4"/>
      <c r="P51" s="4" t="s">
        <v>236</v>
      </c>
      <c r="Q51" s="4"/>
      <c r="R51" s="4"/>
      <c r="S51" s="3" t="s">
        <v>237</v>
      </c>
      <c r="T51" s="4" t="s">
        <v>238</v>
      </c>
      <c r="U51" s="4"/>
    </row>
    <row r="52" spans="1:21" ht="395">
      <c r="A52" s="11" t="s">
        <v>239</v>
      </c>
      <c r="B52" s="3" t="str">
        <f t="shared" si="0"/>
        <v>assessment-3.6.2</v>
      </c>
      <c r="C52" s="3" t="str">
        <f t="shared" si="1"/>
        <v>III. Agire | Domanda 3.6.2</v>
      </c>
      <c r="D52" s="4" t="s">
        <v>27</v>
      </c>
      <c r="E52" s="6" t="s">
        <v>240</v>
      </c>
      <c r="F52" s="4"/>
      <c r="G52" s="3" t="s">
        <v>190</v>
      </c>
      <c r="H52" s="30"/>
      <c r="I52" s="4" t="b">
        <v>0</v>
      </c>
      <c r="J52" s="4">
        <v>1</v>
      </c>
      <c r="K52" s="4" t="s">
        <v>241</v>
      </c>
      <c r="L52" s="4"/>
      <c r="M52" s="3"/>
      <c r="N52" s="4" t="b">
        <v>0</v>
      </c>
      <c r="O52" s="2"/>
      <c r="P52" s="2"/>
      <c r="Q52" s="4"/>
      <c r="R52" s="4"/>
      <c r="S52" s="3"/>
      <c r="T52" s="4" t="s">
        <v>242</v>
      </c>
      <c r="U52" s="4" t="s">
        <v>243</v>
      </c>
    </row>
    <row r="53" spans="1:21" ht="80">
      <c r="A53" s="11" t="s">
        <v>244</v>
      </c>
      <c r="B53" s="3" t="str">
        <f t="shared" si="0"/>
        <v>assessment-3.6.3</v>
      </c>
      <c r="C53" s="3" t="str">
        <f t="shared" si="1"/>
        <v>III. Agire | Domanda 3.6.3</v>
      </c>
      <c r="D53" s="4" t="s">
        <v>27</v>
      </c>
      <c r="E53" s="6" t="s">
        <v>245</v>
      </c>
      <c r="F53" s="4"/>
      <c r="G53" s="3" t="s">
        <v>190</v>
      </c>
      <c r="H53" s="30"/>
      <c r="I53" s="4" t="b">
        <v>0</v>
      </c>
      <c r="J53" s="4">
        <v>1</v>
      </c>
      <c r="K53" s="4"/>
      <c r="L53" s="4"/>
      <c r="M53" s="3"/>
      <c r="N53" s="4" t="b">
        <v>0</v>
      </c>
      <c r="O53" s="4"/>
      <c r="P53" s="4"/>
      <c r="Q53" s="4"/>
      <c r="R53" s="4"/>
      <c r="S53" s="21">
        <v>0.21527777777777779</v>
      </c>
      <c r="T53" s="4" t="s">
        <v>246</v>
      </c>
      <c r="U53" s="4"/>
    </row>
    <row r="54" spans="1:21" ht="64">
      <c r="A54" s="11" t="s">
        <v>247</v>
      </c>
      <c r="B54" s="3" t="str">
        <f t="shared" si="0"/>
        <v>assessment-3.6.4</v>
      </c>
      <c r="C54" s="3" t="str">
        <f t="shared" si="1"/>
        <v>III. Agire | Domanda 3.6.4</v>
      </c>
      <c r="D54" s="4" t="s">
        <v>27</v>
      </c>
      <c r="E54" s="6" t="s">
        <v>248</v>
      </c>
      <c r="F54" s="4"/>
      <c r="G54" s="3" t="s">
        <v>190</v>
      </c>
      <c r="H54" s="30"/>
      <c r="I54" s="4" t="b">
        <v>0</v>
      </c>
      <c r="J54" s="4">
        <v>1</v>
      </c>
      <c r="K54" s="4"/>
      <c r="L54" s="4"/>
      <c r="M54" s="3"/>
      <c r="N54" s="4" t="b">
        <v>0</v>
      </c>
      <c r="O54" s="4"/>
      <c r="P54" s="4"/>
      <c r="Q54" s="4"/>
      <c r="R54" s="4"/>
      <c r="S54" s="21">
        <v>0.21597222222222223</v>
      </c>
      <c r="T54" s="4" t="s">
        <v>249</v>
      </c>
      <c r="U54" s="4"/>
    </row>
    <row r="55" spans="1:21" ht="80">
      <c r="A55" s="11" t="s">
        <v>250</v>
      </c>
      <c r="B55" s="3" t="str">
        <f t="shared" si="0"/>
        <v>assessment-3.6.5</v>
      </c>
      <c r="C55" s="3" t="str">
        <f t="shared" si="1"/>
        <v>III. Agire | Domanda 3.6.5</v>
      </c>
      <c r="D55" s="4" t="s">
        <v>27</v>
      </c>
      <c r="E55" s="6" t="s">
        <v>251</v>
      </c>
      <c r="F55" s="4"/>
      <c r="G55" s="3" t="s">
        <v>190</v>
      </c>
      <c r="H55" s="30"/>
      <c r="I55" s="4" t="b">
        <v>0</v>
      </c>
      <c r="J55" s="4">
        <v>1</v>
      </c>
      <c r="K55" s="4"/>
      <c r="L55" s="4"/>
      <c r="M55" s="3"/>
      <c r="N55" s="4" t="b">
        <v>0</v>
      </c>
      <c r="O55" s="4"/>
      <c r="P55" s="4"/>
      <c r="Q55" s="4"/>
      <c r="R55" s="4"/>
      <c r="S55" s="21">
        <v>0.21666666666666667</v>
      </c>
      <c r="T55" s="4" t="s">
        <v>252</v>
      </c>
      <c r="U55" s="4"/>
    </row>
    <row r="56" spans="1:21" ht="48">
      <c r="A56" s="11" t="s">
        <v>253</v>
      </c>
      <c r="B56" s="3" t="str">
        <f t="shared" si="0"/>
        <v>assessment-3.6.6</v>
      </c>
      <c r="C56" s="3" t="str">
        <f t="shared" si="1"/>
        <v>III. Agire | Domanda 3.6.6</v>
      </c>
      <c r="D56" s="4" t="s">
        <v>27</v>
      </c>
      <c r="E56" s="6" t="s">
        <v>254</v>
      </c>
      <c r="F56" s="4"/>
      <c r="G56" s="3" t="s">
        <v>190</v>
      </c>
      <c r="H56" s="30"/>
      <c r="I56" s="4" t="b">
        <v>0</v>
      </c>
      <c r="J56" s="4">
        <v>1</v>
      </c>
      <c r="K56" s="4"/>
      <c r="L56" s="4"/>
      <c r="M56" s="3"/>
      <c r="N56" s="4" t="b">
        <v>0</v>
      </c>
      <c r="O56" s="4"/>
      <c r="P56" s="4"/>
      <c r="Q56" s="4"/>
      <c r="R56" s="4"/>
      <c r="S56" s="21">
        <v>0.21736111111111112</v>
      </c>
      <c r="T56" s="4" t="s">
        <v>255</v>
      </c>
      <c r="U56" s="4"/>
    </row>
    <row r="57" spans="1:21" ht="80">
      <c r="A57" s="11" t="s">
        <v>256</v>
      </c>
      <c r="B57" s="3" t="str">
        <f t="shared" si="0"/>
        <v>assessment-3.6.7</v>
      </c>
      <c r="C57" s="3" t="str">
        <f t="shared" si="1"/>
        <v>III. Agire | Domanda 3.6.7</v>
      </c>
      <c r="D57" s="4" t="s">
        <v>27</v>
      </c>
      <c r="E57" s="6" t="s">
        <v>257</v>
      </c>
      <c r="F57" s="4"/>
      <c r="G57" s="3" t="s">
        <v>190</v>
      </c>
      <c r="H57" s="30"/>
      <c r="I57" s="4" t="b">
        <v>0</v>
      </c>
      <c r="J57" s="4">
        <v>1</v>
      </c>
      <c r="K57" s="4"/>
      <c r="L57" s="4"/>
      <c r="M57" s="3"/>
      <c r="N57" s="4" t="b">
        <v>0</v>
      </c>
      <c r="O57" s="4"/>
      <c r="P57" s="4"/>
      <c r="Q57" s="4"/>
      <c r="R57" s="4"/>
      <c r="S57" s="21">
        <v>0.21875</v>
      </c>
      <c r="T57" s="4" t="s">
        <v>258</v>
      </c>
      <c r="U57" s="4"/>
    </row>
    <row r="58" spans="1:21" ht="78.75" customHeight="1">
      <c r="A58" s="17" t="s">
        <v>259</v>
      </c>
      <c r="B58" s="20" t="str">
        <f t="shared" si="0"/>
        <v>assessment-3.6.8</v>
      </c>
      <c r="C58" s="20" t="str">
        <f t="shared" si="1"/>
        <v>III. Agire | Domanda 3.6.8</v>
      </c>
      <c r="D58" s="18" t="s">
        <v>27</v>
      </c>
      <c r="E58" s="22" t="s">
        <v>260</v>
      </c>
      <c r="F58" s="18"/>
      <c r="G58" s="20" t="s">
        <v>190</v>
      </c>
      <c r="H58" s="30"/>
      <c r="I58" s="18" t="b">
        <v>0</v>
      </c>
      <c r="J58" s="18">
        <v>1</v>
      </c>
      <c r="K58" s="18"/>
      <c r="L58" s="18"/>
      <c r="M58" s="20"/>
      <c r="N58" s="18" t="b">
        <v>1</v>
      </c>
      <c r="O58" s="23"/>
      <c r="P58" s="23"/>
      <c r="Q58" s="18" t="s">
        <v>261</v>
      </c>
      <c r="R58" s="18"/>
      <c r="S58" s="20"/>
      <c r="T58" s="23"/>
      <c r="U58" s="18"/>
    </row>
    <row r="59" spans="1:21" ht="112">
      <c r="A59" s="11" t="s">
        <v>262</v>
      </c>
      <c r="B59" s="3" t="str">
        <f t="shared" si="0"/>
        <v>assessment-3.7.1</v>
      </c>
      <c r="C59" s="3" t="str">
        <f t="shared" si="1"/>
        <v>III. Agire | Domanda 3.7.1</v>
      </c>
      <c r="D59" s="4" t="s">
        <v>27</v>
      </c>
      <c r="E59" s="6" t="s">
        <v>263</v>
      </c>
      <c r="F59" s="4"/>
      <c r="G59" s="3" t="s">
        <v>190</v>
      </c>
      <c r="H59" s="30"/>
      <c r="I59" s="4" t="b">
        <v>0</v>
      </c>
      <c r="J59" s="4">
        <v>1</v>
      </c>
      <c r="K59" s="4"/>
      <c r="L59" s="4"/>
      <c r="M59" s="3"/>
      <c r="N59" s="4" t="b">
        <v>0</v>
      </c>
      <c r="O59" s="4"/>
      <c r="P59" s="4" t="s">
        <v>264</v>
      </c>
      <c r="Q59" s="4"/>
      <c r="R59" s="4"/>
      <c r="S59" s="21">
        <v>0.21944444444444444</v>
      </c>
      <c r="T59" s="4" t="s">
        <v>265</v>
      </c>
      <c r="U59" s="4"/>
    </row>
    <row r="60" spans="1:21" ht="32">
      <c r="A60" s="11" t="s">
        <v>266</v>
      </c>
      <c r="B60" s="3" t="str">
        <f t="shared" si="0"/>
        <v>assessment-3.7.2</v>
      </c>
      <c r="C60" s="3" t="str">
        <f t="shared" si="1"/>
        <v>III. Agire | Domanda 3.7.2</v>
      </c>
      <c r="D60" s="4" t="s">
        <v>27</v>
      </c>
      <c r="E60" s="6" t="s">
        <v>267</v>
      </c>
      <c r="F60" s="4"/>
      <c r="G60" s="3" t="s">
        <v>190</v>
      </c>
      <c r="H60" s="30"/>
      <c r="I60" s="4" t="b">
        <v>0</v>
      </c>
      <c r="J60" s="4">
        <v>1</v>
      </c>
      <c r="K60" s="4"/>
      <c r="L60" s="4"/>
      <c r="M60" s="3"/>
      <c r="N60" s="4" t="b">
        <v>0</v>
      </c>
      <c r="O60" s="4"/>
      <c r="P60" s="4"/>
      <c r="Q60" s="4"/>
      <c r="R60" s="4"/>
      <c r="S60" s="21">
        <v>0.22013888888888888</v>
      </c>
      <c r="T60" s="4" t="s">
        <v>268</v>
      </c>
      <c r="U60" s="4"/>
    </row>
    <row r="61" spans="1:21" ht="48">
      <c r="A61" s="11" t="s">
        <v>269</v>
      </c>
      <c r="B61" s="3" t="str">
        <f t="shared" si="0"/>
        <v>assessment-3.7.3</v>
      </c>
      <c r="C61" s="3" t="str">
        <f t="shared" si="1"/>
        <v>III. Agire | Domanda 3.7.3</v>
      </c>
      <c r="D61" s="4" t="s">
        <v>27</v>
      </c>
      <c r="E61" s="6" t="s">
        <v>270</v>
      </c>
      <c r="F61" s="4"/>
      <c r="G61" s="3" t="s">
        <v>190</v>
      </c>
      <c r="H61" s="30"/>
      <c r="I61" s="4" t="b">
        <v>0</v>
      </c>
      <c r="J61" s="4">
        <v>1</v>
      </c>
      <c r="K61" s="4"/>
      <c r="L61" s="4"/>
      <c r="M61" s="3"/>
      <c r="N61" s="4" t="b">
        <v>0</v>
      </c>
      <c r="O61" s="4"/>
      <c r="P61" s="4"/>
      <c r="Q61" s="4"/>
      <c r="R61" s="4"/>
      <c r="S61" s="21">
        <v>0.22083333333333333</v>
      </c>
      <c r="T61" s="4" t="s">
        <v>271</v>
      </c>
      <c r="U61" s="4"/>
    </row>
    <row r="62" spans="1:21" ht="64">
      <c r="A62" s="11" t="s">
        <v>272</v>
      </c>
      <c r="B62" s="3" t="str">
        <f t="shared" si="0"/>
        <v>assessment-3.7.4</v>
      </c>
      <c r="C62" s="3" t="str">
        <f t="shared" si="1"/>
        <v>III. Agire | Domanda 3.7.4</v>
      </c>
      <c r="D62" s="4" t="s">
        <v>27</v>
      </c>
      <c r="E62" s="6" t="s">
        <v>273</v>
      </c>
      <c r="F62" s="4"/>
      <c r="G62" s="3" t="s">
        <v>190</v>
      </c>
      <c r="H62" s="30"/>
      <c r="I62" s="4" t="b">
        <v>0</v>
      </c>
      <c r="J62" s="4">
        <v>1</v>
      </c>
      <c r="K62" s="4"/>
      <c r="L62" s="4"/>
      <c r="M62" s="3"/>
      <c r="N62" s="4" t="b">
        <v>0</v>
      </c>
      <c r="O62" s="4"/>
      <c r="P62" s="4"/>
      <c r="Q62" s="4"/>
      <c r="R62" s="4"/>
      <c r="S62" s="21">
        <v>0.22152777777777777</v>
      </c>
      <c r="T62" s="4" t="s">
        <v>274</v>
      </c>
      <c r="U62" s="4"/>
    </row>
    <row r="63" spans="1:21" ht="48">
      <c r="A63" s="11" t="s">
        <v>275</v>
      </c>
      <c r="B63" s="3" t="str">
        <f t="shared" si="0"/>
        <v>assessment-3.8.1</v>
      </c>
      <c r="C63" s="3" t="str">
        <f t="shared" si="1"/>
        <v>III. Agire | Domanda 3.8.1</v>
      </c>
      <c r="D63" s="4" t="s">
        <v>27</v>
      </c>
      <c r="E63" s="6" t="s">
        <v>276</v>
      </c>
      <c r="F63" s="4"/>
      <c r="G63" s="3" t="s">
        <v>190</v>
      </c>
      <c r="H63" s="30"/>
      <c r="I63" s="4" t="b">
        <v>0</v>
      </c>
      <c r="J63" s="4">
        <v>1</v>
      </c>
      <c r="K63" s="4"/>
      <c r="L63" s="4"/>
      <c r="M63" s="3"/>
      <c r="N63" s="4" t="b">
        <v>0</v>
      </c>
      <c r="O63" s="4"/>
      <c r="P63" s="4" t="s">
        <v>277</v>
      </c>
      <c r="Q63" s="4"/>
      <c r="R63" s="4"/>
      <c r="S63" s="21">
        <v>0.22222222222222221</v>
      </c>
      <c r="T63" s="4" t="s">
        <v>278</v>
      </c>
      <c r="U63" s="4"/>
    </row>
    <row r="64" spans="1:21" ht="48">
      <c r="A64" s="11" t="s">
        <v>279</v>
      </c>
      <c r="B64" s="3" t="str">
        <f t="shared" si="0"/>
        <v>assessment-3.8.2</v>
      </c>
      <c r="C64" s="3" t="str">
        <f t="shared" si="1"/>
        <v>III. Agire | Domanda 3.8.2</v>
      </c>
      <c r="D64" s="4" t="s">
        <v>27</v>
      </c>
      <c r="E64" s="6" t="s">
        <v>280</v>
      </c>
      <c r="F64" s="4"/>
      <c r="G64" s="3" t="s">
        <v>190</v>
      </c>
      <c r="H64" s="30"/>
      <c r="I64" s="4" t="b">
        <v>0</v>
      </c>
      <c r="J64" s="4">
        <v>1</v>
      </c>
      <c r="K64" s="4"/>
      <c r="L64" s="4"/>
      <c r="M64" s="3"/>
      <c r="N64" s="4" t="b">
        <v>0</v>
      </c>
      <c r="O64" s="4"/>
      <c r="P64" s="4"/>
      <c r="Q64" s="4"/>
      <c r="R64" s="4"/>
      <c r="S64" s="21">
        <v>0.22291666666666668</v>
      </c>
      <c r="T64" s="4" t="s">
        <v>281</v>
      </c>
      <c r="U64" s="4"/>
    </row>
    <row r="65" spans="1:21" ht="48">
      <c r="A65" s="11" t="s">
        <v>282</v>
      </c>
      <c r="B65" s="3" t="str">
        <f t="shared" si="0"/>
        <v>assessment-3.8.3</v>
      </c>
      <c r="C65" s="3" t="str">
        <f t="shared" si="1"/>
        <v>III. Agire | Domanda 3.8.3</v>
      </c>
      <c r="D65" s="4" t="s">
        <v>27</v>
      </c>
      <c r="E65" s="6" t="s">
        <v>283</v>
      </c>
      <c r="F65" s="4"/>
      <c r="G65" s="3" t="s">
        <v>190</v>
      </c>
      <c r="H65" s="30"/>
      <c r="I65" s="4" t="b">
        <v>0</v>
      </c>
      <c r="J65" s="4">
        <v>1</v>
      </c>
      <c r="K65" s="4"/>
      <c r="L65" s="4"/>
      <c r="M65" s="3"/>
      <c r="N65" s="4" t="b">
        <v>0</v>
      </c>
      <c r="O65" s="4"/>
      <c r="P65" s="4"/>
      <c r="Q65" s="4"/>
      <c r="R65" s="4"/>
      <c r="S65" s="21">
        <v>0.22361111111111112</v>
      </c>
      <c r="T65" s="4" t="s">
        <v>284</v>
      </c>
      <c r="U65" s="4"/>
    </row>
    <row r="66" spans="1:21" ht="48">
      <c r="A66" s="11" t="s">
        <v>285</v>
      </c>
      <c r="B66" s="3" t="str">
        <f t="shared" si="0"/>
        <v>assessment-3.9.1</v>
      </c>
      <c r="C66" s="3" t="str">
        <f t="shared" si="1"/>
        <v>III. Agire | Domanda 3.9.1</v>
      </c>
      <c r="D66" s="4" t="s">
        <v>27</v>
      </c>
      <c r="E66" s="6" t="s">
        <v>286</v>
      </c>
      <c r="F66" s="4"/>
      <c r="G66" s="3" t="s">
        <v>190</v>
      </c>
      <c r="H66" s="30"/>
      <c r="I66" s="4" t="b">
        <v>0</v>
      </c>
      <c r="J66" s="4">
        <v>1</v>
      </c>
      <c r="K66" s="4"/>
      <c r="L66" s="4"/>
      <c r="M66" s="3"/>
      <c r="N66" s="4" t="b">
        <v>0</v>
      </c>
      <c r="O66" s="4"/>
      <c r="P66" s="4" t="s">
        <v>287</v>
      </c>
      <c r="Q66" s="4"/>
      <c r="R66" s="4"/>
      <c r="S66" s="21">
        <v>0.22430555555555556</v>
      </c>
      <c r="T66" s="4" t="s">
        <v>288</v>
      </c>
      <c r="U66" s="4"/>
    </row>
    <row r="67" spans="1:21" ht="48">
      <c r="A67" s="11" t="s">
        <v>289</v>
      </c>
      <c r="B67" s="3" t="str">
        <f t="shared" si="0"/>
        <v>assessment-3.9.2</v>
      </c>
      <c r="C67" s="3" t="str">
        <f t="shared" si="1"/>
        <v>III. Agire | Domanda 3.9.2</v>
      </c>
      <c r="D67" s="4" t="s">
        <v>27</v>
      </c>
      <c r="E67" s="6" t="s">
        <v>290</v>
      </c>
      <c r="F67" s="4"/>
      <c r="G67" s="3" t="s">
        <v>190</v>
      </c>
      <c r="H67" s="30"/>
      <c r="I67" s="4" t="b">
        <v>0</v>
      </c>
      <c r="J67" s="4">
        <v>1</v>
      </c>
      <c r="K67" s="4"/>
      <c r="L67" s="4"/>
      <c r="M67" s="3"/>
      <c r="N67" s="4" t="b">
        <v>0</v>
      </c>
      <c r="O67" s="4"/>
      <c r="P67" s="4"/>
      <c r="Q67" s="4"/>
      <c r="R67" s="4"/>
      <c r="S67" s="21">
        <v>0.22500000000000001</v>
      </c>
      <c r="T67" s="4" t="s">
        <v>291</v>
      </c>
      <c r="U67" s="4"/>
    </row>
    <row r="68" spans="1:21" ht="64">
      <c r="A68" s="11" t="s">
        <v>292</v>
      </c>
      <c r="B68" s="3" t="str">
        <f t="shared" si="0"/>
        <v>assessment-3.9.3</v>
      </c>
      <c r="C68" s="3" t="str">
        <f t="shared" si="1"/>
        <v>III. Agire | Domanda 3.9.3</v>
      </c>
      <c r="D68" s="4" t="s">
        <v>27</v>
      </c>
      <c r="E68" s="6" t="s">
        <v>293</v>
      </c>
      <c r="F68" s="4"/>
      <c r="G68" s="3" t="s">
        <v>190</v>
      </c>
      <c r="H68" s="30"/>
      <c r="I68" s="4" t="b">
        <v>0</v>
      </c>
      <c r="J68" s="4">
        <v>1</v>
      </c>
      <c r="K68" s="4"/>
      <c r="L68" s="4"/>
      <c r="M68" s="3"/>
      <c r="N68" s="4" t="b">
        <v>0</v>
      </c>
      <c r="O68" s="4"/>
      <c r="P68" s="4"/>
      <c r="Q68" s="4"/>
      <c r="R68" s="4"/>
      <c r="S68" s="21">
        <v>0.22569444444444445</v>
      </c>
      <c r="T68" s="4" t="s">
        <v>294</v>
      </c>
      <c r="U68" s="4"/>
    </row>
    <row r="69" spans="1:21" ht="208">
      <c r="A69" s="11" t="s">
        <v>295</v>
      </c>
      <c r="B69" s="3" t="str">
        <f t="shared" si="0"/>
        <v>assessment-3.9.4</v>
      </c>
      <c r="C69" s="3" t="str">
        <f t="shared" si="1"/>
        <v>III. Agire | Domanda 3.9.4</v>
      </c>
      <c r="D69" s="4" t="s">
        <v>27</v>
      </c>
      <c r="E69" s="6" t="s">
        <v>296</v>
      </c>
      <c r="F69" s="4"/>
      <c r="G69" s="3" t="s">
        <v>190</v>
      </c>
      <c r="H69" s="30"/>
      <c r="I69" s="4" t="b">
        <v>0</v>
      </c>
      <c r="J69" s="4">
        <v>1</v>
      </c>
      <c r="K69" s="4" t="s">
        <v>297</v>
      </c>
      <c r="L69" s="4"/>
      <c r="M69" s="3"/>
      <c r="N69" s="4" t="b">
        <v>0</v>
      </c>
      <c r="O69" s="4"/>
      <c r="P69" s="4"/>
      <c r="Q69" s="4"/>
      <c r="R69" s="4"/>
      <c r="S69" s="21">
        <v>0.22638888888888889</v>
      </c>
      <c r="T69" s="4" t="s">
        <v>298</v>
      </c>
      <c r="U69" s="4"/>
    </row>
    <row r="70" spans="1:21" ht="64">
      <c r="A70" s="11" t="s">
        <v>299</v>
      </c>
      <c r="B70" s="3" t="str">
        <f t="shared" si="0"/>
        <v>assessment-3.9.5</v>
      </c>
      <c r="C70" s="3" t="str">
        <f t="shared" si="1"/>
        <v>III. Agire | Domanda 3.9.5</v>
      </c>
      <c r="D70" s="4" t="s">
        <v>27</v>
      </c>
      <c r="E70" s="6" t="s">
        <v>300</v>
      </c>
      <c r="F70" s="4"/>
      <c r="G70" s="3" t="s">
        <v>190</v>
      </c>
      <c r="H70" s="30"/>
      <c r="I70" s="4" t="b">
        <v>0</v>
      </c>
      <c r="J70" s="4">
        <v>1</v>
      </c>
      <c r="K70" s="4"/>
      <c r="L70" s="4"/>
      <c r="M70" s="3"/>
      <c r="N70" s="4" t="b">
        <v>0</v>
      </c>
      <c r="O70" s="4"/>
      <c r="P70" s="4"/>
      <c r="Q70" s="4"/>
      <c r="R70" s="4"/>
      <c r="S70" s="21">
        <v>0.22708333333333333</v>
      </c>
      <c r="T70" s="4" t="s">
        <v>301</v>
      </c>
      <c r="U70" s="4"/>
    </row>
    <row r="71" spans="1:21" ht="64">
      <c r="A71" s="11" t="s">
        <v>302</v>
      </c>
      <c r="B71" s="3" t="str">
        <f t="shared" si="0"/>
        <v>assessment-3.9.6</v>
      </c>
      <c r="C71" s="3" t="str">
        <f t="shared" si="1"/>
        <v>III. Agire | Domanda 3.9.6</v>
      </c>
      <c r="D71" s="4" t="s">
        <v>27</v>
      </c>
      <c r="E71" s="6" t="s">
        <v>303</v>
      </c>
      <c r="F71" s="4"/>
      <c r="G71" s="3" t="s">
        <v>190</v>
      </c>
      <c r="H71" s="30"/>
      <c r="I71" s="4" t="b">
        <v>0</v>
      </c>
      <c r="J71" s="4">
        <v>1</v>
      </c>
      <c r="K71" s="4"/>
      <c r="L71" s="4"/>
      <c r="M71" s="3"/>
      <c r="N71" s="4" t="b">
        <v>0</v>
      </c>
      <c r="O71" s="4"/>
      <c r="P71" s="4"/>
      <c r="Q71" s="4"/>
      <c r="R71" s="4"/>
      <c r="S71" s="21">
        <v>0.22777777777777777</v>
      </c>
      <c r="T71" s="4" t="s">
        <v>304</v>
      </c>
      <c r="U71" s="4"/>
    </row>
    <row r="72" spans="1:21" ht="64">
      <c r="A72" s="11" t="s">
        <v>305</v>
      </c>
      <c r="B72" s="3" t="str">
        <f t="shared" si="0"/>
        <v>assessment-3.9.7</v>
      </c>
      <c r="C72" s="3" t="str">
        <f t="shared" si="1"/>
        <v>III. Agire | Domanda 3.9.7</v>
      </c>
      <c r="D72" s="4" t="s">
        <v>27</v>
      </c>
      <c r="E72" s="6" t="s">
        <v>306</v>
      </c>
      <c r="F72" s="4"/>
      <c r="G72" s="3" t="s">
        <v>190</v>
      </c>
      <c r="H72" s="30"/>
      <c r="I72" s="4" t="b">
        <v>0</v>
      </c>
      <c r="J72" s="4">
        <v>1</v>
      </c>
      <c r="K72" s="4"/>
      <c r="L72" s="4"/>
      <c r="M72" s="3"/>
      <c r="N72" s="4" t="b">
        <v>0</v>
      </c>
      <c r="O72" s="4"/>
      <c r="P72" s="4"/>
      <c r="Q72" s="4"/>
      <c r="R72" s="4"/>
      <c r="S72" s="21">
        <v>0.22847222222222222</v>
      </c>
      <c r="T72" s="4" t="s">
        <v>307</v>
      </c>
      <c r="U72" s="4"/>
    </row>
    <row r="73" spans="1:21" ht="160">
      <c r="A73" s="11" t="s">
        <v>308</v>
      </c>
      <c r="B73" s="3" t="str">
        <f t="shared" si="0"/>
        <v>assessment-3.10.1</v>
      </c>
      <c r="C73" s="3" t="str">
        <f t="shared" si="1"/>
        <v>III. Agire | Domanda 3.10.1</v>
      </c>
      <c r="D73" s="4" t="s">
        <v>27</v>
      </c>
      <c r="E73" s="6" t="s">
        <v>309</v>
      </c>
      <c r="F73" s="4"/>
      <c r="G73" s="3" t="s">
        <v>190</v>
      </c>
      <c r="H73" s="30"/>
      <c r="I73" s="4" t="b">
        <v>0</v>
      </c>
      <c r="J73" s="4">
        <v>1</v>
      </c>
      <c r="K73" s="4" t="s">
        <v>310</v>
      </c>
      <c r="L73" s="4"/>
      <c r="M73" s="3"/>
      <c r="N73" s="4" t="b">
        <v>0</v>
      </c>
      <c r="O73" s="4"/>
      <c r="P73" s="4" t="s">
        <v>311</v>
      </c>
      <c r="Q73" s="4"/>
      <c r="R73" s="4"/>
      <c r="S73" s="21">
        <v>0.22916666666666666</v>
      </c>
      <c r="T73" s="4" t="s">
        <v>312</v>
      </c>
      <c r="U73" s="4"/>
    </row>
    <row r="74" spans="1:21" ht="48">
      <c r="A74" s="11" t="s">
        <v>313</v>
      </c>
      <c r="B74" s="3" t="str">
        <f t="shared" si="0"/>
        <v>assessment-3.10.2</v>
      </c>
      <c r="C74" s="3" t="str">
        <f t="shared" si="1"/>
        <v>III. Agire | Domanda 3.10.2</v>
      </c>
      <c r="D74" s="4" t="s">
        <v>27</v>
      </c>
      <c r="E74" s="6" t="s">
        <v>314</v>
      </c>
      <c r="F74" s="4"/>
      <c r="G74" s="3" t="s">
        <v>190</v>
      </c>
      <c r="H74" s="30"/>
      <c r="I74" s="4" t="b">
        <v>0</v>
      </c>
      <c r="J74" s="4">
        <v>1</v>
      </c>
      <c r="K74" s="4"/>
      <c r="L74" s="4"/>
      <c r="M74" s="3"/>
      <c r="N74" s="4" t="b">
        <v>0</v>
      </c>
      <c r="O74" s="4"/>
      <c r="P74" s="4"/>
      <c r="Q74" s="4"/>
      <c r="R74" s="4"/>
      <c r="S74" s="21">
        <v>0.2298611111111111</v>
      </c>
      <c r="T74" s="4" t="s">
        <v>315</v>
      </c>
      <c r="U74" s="4"/>
    </row>
    <row r="75" spans="1:21" ht="64">
      <c r="A75" s="11" t="s">
        <v>316</v>
      </c>
      <c r="B75" s="3" t="str">
        <f t="shared" si="0"/>
        <v>assessment-3.10.3</v>
      </c>
      <c r="C75" s="3" t="str">
        <f t="shared" si="1"/>
        <v>III. Agire | Domanda 3.10.3</v>
      </c>
      <c r="D75" s="4" t="s">
        <v>27</v>
      </c>
      <c r="E75" s="6" t="s">
        <v>317</v>
      </c>
      <c r="F75" s="4"/>
      <c r="G75" s="3" t="s">
        <v>190</v>
      </c>
      <c r="H75" s="31"/>
      <c r="I75" s="4" t="b">
        <v>0</v>
      </c>
      <c r="J75" s="4">
        <v>1</v>
      </c>
      <c r="K75" s="4"/>
      <c r="L75" s="4"/>
      <c r="M75" s="3"/>
      <c r="N75" s="4" t="b">
        <v>0</v>
      </c>
      <c r="O75" s="4"/>
      <c r="P75" s="4"/>
      <c r="Q75" s="4"/>
      <c r="R75" s="4"/>
      <c r="S75" s="21">
        <v>0.23055555555555557</v>
      </c>
      <c r="T75" s="4" t="s">
        <v>318</v>
      </c>
      <c r="U75" s="4"/>
    </row>
    <row r="76" spans="1:21" ht="48">
      <c r="A76" s="11" t="s">
        <v>319</v>
      </c>
      <c r="B76" s="3" t="str">
        <f t="shared" si="0"/>
        <v>assessment-3.10.4</v>
      </c>
      <c r="C76" s="3" t="str">
        <f t="shared" si="1"/>
        <v>III. Agire | Domanda 3.10.4</v>
      </c>
      <c r="D76" s="18" t="s">
        <v>27</v>
      </c>
      <c r="E76" s="24" t="s">
        <v>320</v>
      </c>
      <c r="F76" s="18"/>
      <c r="G76" s="3" t="s">
        <v>190</v>
      </c>
      <c r="H76" s="32"/>
      <c r="I76" s="18" t="b">
        <v>0</v>
      </c>
      <c r="J76" s="19">
        <v>1</v>
      </c>
      <c r="K76" s="18" t="s">
        <v>321</v>
      </c>
      <c r="L76" s="18"/>
      <c r="M76" s="20"/>
      <c r="N76" s="18" t="b">
        <v>1</v>
      </c>
      <c r="O76" s="23"/>
      <c r="P76" s="23" t="s">
        <v>322</v>
      </c>
      <c r="Q76" s="18"/>
      <c r="R76" s="18"/>
      <c r="S76" s="20"/>
      <c r="T76" s="18" t="s">
        <v>323</v>
      </c>
      <c r="U76" s="18"/>
    </row>
    <row r="77" spans="1:21" ht="48">
      <c r="A77" s="11" t="s">
        <v>324</v>
      </c>
      <c r="B77" s="3" t="str">
        <f t="shared" si="0"/>
        <v>assessment-3.10.5</v>
      </c>
      <c r="C77" s="3" t="str">
        <f t="shared" si="1"/>
        <v>III. Agire | Domanda 3.10.5</v>
      </c>
      <c r="D77" s="18" t="s">
        <v>27</v>
      </c>
      <c r="E77" s="24" t="s">
        <v>325</v>
      </c>
      <c r="F77" s="18"/>
      <c r="G77" s="3" t="s">
        <v>190</v>
      </c>
      <c r="H77" s="30"/>
      <c r="I77" s="18" t="b">
        <v>0</v>
      </c>
      <c r="J77" s="19">
        <v>1</v>
      </c>
      <c r="K77" s="18" t="s">
        <v>326</v>
      </c>
      <c r="L77" s="18"/>
      <c r="M77" s="20"/>
      <c r="N77" s="18" t="b">
        <v>1</v>
      </c>
      <c r="O77" s="18"/>
      <c r="P77" s="18"/>
      <c r="Q77" s="18"/>
      <c r="R77" s="18"/>
      <c r="S77" s="20"/>
      <c r="T77" s="18" t="s">
        <v>327</v>
      </c>
      <c r="U77" s="18"/>
    </row>
    <row r="78" spans="1:21" ht="48">
      <c r="A78" s="11" t="s">
        <v>328</v>
      </c>
      <c r="B78" s="3" t="str">
        <f t="shared" si="0"/>
        <v>assessment-3.10.6</v>
      </c>
      <c r="C78" s="3" t="str">
        <f t="shared" si="1"/>
        <v>III. Agire | Domanda 3.10.6</v>
      </c>
      <c r="D78" s="18" t="s">
        <v>27</v>
      </c>
      <c r="E78" s="24" t="s">
        <v>329</v>
      </c>
      <c r="F78" s="18"/>
      <c r="G78" s="3" t="s">
        <v>190</v>
      </c>
      <c r="H78" s="30"/>
      <c r="I78" s="18" t="b">
        <v>0</v>
      </c>
      <c r="J78" s="19">
        <v>1</v>
      </c>
      <c r="K78" s="18" t="s">
        <v>330</v>
      </c>
      <c r="L78" s="18"/>
      <c r="M78" s="20"/>
      <c r="N78" s="18" t="b">
        <v>1</v>
      </c>
      <c r="O78" s="18"/>
      <c r="P78" s="18"/>
      <c r="Q78" s="18"/>
      <c r="R78" s="18"/>
      <c r="S78" s="20"/>
      <c r="T78" s="18" t="s">
        <v>331</v>
      </c>
      <c r="U78" s="18"/>
    </row>
    <row r="79" spans="1:21" ht="80">
      <c r="A79" s="11" t="s">
        <v>76</v>
      </c>
      <c r="B79" s="3" t="str">
        <f t="shared" si="0"/>
        <v>assessment-4.1</v>
      </c>
      <c r="C79" s="3" t="str">
        <f t="shared" si="1"/>
        <v>IV. Monitorare | Domanda 4.1</v>
      </c>
      <c r="D79" s="4" t="s">
        <v>27</v>
      </c>
      <c r="E79" s="6" t="s">
        <v>332</v>
      </c>
      <c r="F79" s="4"/>
      <c r="G79" s="3" t="s">
        <v>333</v>
      </c>
      <c r="H79" s="30"/>
      <c r="I79" s="4" t="b">
        <v>0</v>
      </c>
      <c r="J79" s="4">
        <v>1</v>
      </c>
      <c r="K79" s="4"/>
      <c r="L79" s="4"/>
      <c r="M79" s="3"/>
      <c r="N79" s="4" t="b">
        <v>0</v>
      </c>
      <c r="O79" s="2"/>
      <c r="P79" s="2" t="s">
        <v>334</v>
      </c>
      <c r="Q79" s="4"/>
      <c r="R79" s="4"/>
      <c r="S79" s="3"/>
      <c r="T79" s="25" t="s">
        <v>335</v>
      </c>
      <c r="U79" s="4"/>
    </row>
    <row r="80" spans="1:21" ht="192">
      <c r="A80" s="11" t="s">
        <v>80</v>
      </c>
      <c r="B80" s="3" t="str">
        <f t="shared" si="0"/>
        <v>assessment-4.2</v>
      </c>
      <c r="C80" s="3" t="str">
        <f t="shared" si="1"/>
        <v>IV. Monitorare | Domanda 4.2</v>
      </c>
      <c r="D80" s="4" t="s">
        <v>27</v>
      </c>
      <c r="E80" s="6" t="s">
        <v>336</v>
      </c>
      <c r="F80" s="4"/>
      <c r="G80" s="3" t="s">
        <v>333</v>
      </c>
      <c r="H80" s="31"/>
      <c r="I80" s="4" t="b">
        <v>0</v>
      </c>
      <c r="J80" s="4">
        <v>1</v>
      </c>
      <c r="K80" s="4" t="s">
        <v>337</v>
      </c>
      <c r="L80" s="4"/>
      <c r="M80" s="3"/>
      <c r="N80" s="4" t="b">
        <v>0</v>
      </c>
      <c r="O80" s="4"/>
      <c r="P80" s="4"/>
      <c r="Q80" s="4"/>
      <c r="R80" s="4"/>
      <c r="S80" s="3">
        <v>2</v>
      </c>
      <c r="T80" s="4" t="s">
        <v>338</v>
      </c>
      <c r="U80" s="4"/>
    </row>
    <row r="81" spans="1:21" ht="80">
      <c r="A81" s="11" t="s">
        <v>93</v>
      </c>
      <c r="B81" s="3" t="str">
        <f t="shared" si="0"/>
        <v>assessment-5.1</v>
      </c>
      <c r="C81" s="3" t="str">
        <f t="shared" si="1"/>
        <v>V. Comunicare | Domanda 5.1</v>
      </c>
      <c r="D81" s="4" t="s">
        <v>27</v>
      </c>
      <c r="E81" s="6" t="s">
        <v>339</v>
      </c>
      <c r="F81" s="4"/>
      <c r="G81" s="3" t="s">
        <v>340</v>
      </c>
      <c r="H81" s="29" t="s">
        <v>341</v>
      </c>
      <c r="I81" s="4" t="b">
        <v>0</v>
      </c>
      <c r="J81" s="4">
        <v>1</v>
      </c>
      <c r="K81" s="4"/>
      <c r="L81" s="4"/>
      <c r="M81" s="3"/>
      <c r="N81" s="4" t="b">
        <v>0</v>
      </c>
      <c r="O81" s="16"/>
      <c r="P81" s="16" t="s">
        <v>342</v>
      </c>
      <c r="Q81" s="4"/>
      <c r="R81" s="4"/>
      <c r="S81" s="3">
        <v>1</v>
      </c>
      <c r="T81" s="4" t="s">
        <v>343</v>
      </c>
      <c r="U81" s="4"/>
    </row>
    <row r="82" spans="1:21" ht="32">
      <c r="A82" s="11" t="s">
        <v>98</v>
      </c>
      <c r="B82" s="3" t="str">
        <f t="shared" si="0"/>
        <v>assessment-5.2</v>
      </c>
      <c r="C82" s="3" t="str">
        <f t="shared" si="1"/>
        <v>V. Comunicare | Domanda 5.2</v>
      </c>
      <c r="D82" s="4" t="s">
        <v>27</v>
      </c>
      <c r="E82" s="6" t="s">
        <v>344</v>
      </c>
      <c r="F82" s="4"/>
      <c r="G82" s="3" t="s">
        <v>340</v>
      </c>
      <c r="H82" s="30"/>
      <c r="I82" s="4" t="b">
        <v>0</v>
      </c>
      <c r="J82" s="4">
        <v>1</v>
      </c>
      <c r="K82" s="4"/>
      <c r="L82" s="4"/>
      <c r="M82" s="3"/>
      <c r="N82" s="4" t="b">
        <v>0</v>
      </c>
      <c r="O82" s="4"/>
      <c r="P82" s="4"/>
      <c r="Q82" s="4" t="s">
        <v>154</v>
      </c>
      <c r="R82" s="4"/>
      <c r="S82" s="3">
        <v>2</v>
      </c>
      <c r="T82" s="4" t="s">
        <v>345</v>
      </c>
      <c r="U82" s="4"/>
    </row>
    <row r="83" spans="1:21" ht="32">
      <c r="A83" s="11" t="s">
        <v>346</v>
      </c>
      <c r="B83" s="3" t="str">
        <f t="shared" si="0"/>
        <v>assessment-5.3</v>
      </c>
      <c r="C83" s="3" t="str">
        <f t="shared" si="1"/>
        <v>V. Comunicare | Domanda 5.3</v>
      </c>
      <c r="D83" s="4" t="s">
        <v>52</v>
      </c>
      <c r="E83" s="6" t="s">
        <v>347</v>
      </c>
      <c r="F83" s="4"/>
      <c r="G83" s="3" t="s">
        <v>340</v>
      </c>
      <c r="H83" s="30"/>
      <c r="I83" s="4" t="b">
        <v>0</v>
      </c>
      <c r="J83" s="4">
        <v>1</v>
      </c>
      <c r="K83" s="4"/>
      <c r="L83" s="4" t="s">
        <v>348</v>
      </c>
      <c r="M83" s="3"/>
      <c r="N83" s="4" t="b">
        <v>0</v>
      </c>
      <c r="O83" s="4"/>
      <c r="P83" s="4"/>
      <c r="Q83" s="2"/>
      <c r="R83" s="4"/>
      <c r="S83" s="3">
        <v>3</v>
      </c>
      <c r="T83" s="4" t="s">
        <v>349</v>
      </c>
      <c r="U83" s="4" t="s">
        <v>350</v>
      </c>
    </row>
    <row r="84" spans="1:21" ht="32">
      <c r="A84" s="11" t="s">
        <v>351</v>
      </c>
      <c r="B84" s="3" t="str">
        <f t="shared" si="0"/>
        <v>assessment-5.3.1</v>
      </c>
      <c r="C84" s="3" t="str">
        <f t="shared" si="1"/>
        <v>V. Comunicare | Domanda 5.3.1</v>
      </c>
      <c r="D84" s="4" t="s">
        <v>27</v>
      </c>
      <c r="E84" s="6" t="s">
        <v>352</v>
      </c>
      <c r="F84" s="4"/>
      <c r="G84" s="3" t="s">
        <v>340</v>
      </c>
      <c r="H84" s="30"/>
      <c r="I84" s="4" t="b">
        <v>0</v>
      </c>
      <c r="J84" s="4">
        <v>1</v>
      </c>
      <c r="K84" s="4"/>
      <c r="L84" s="4"/>
      <c r="M84" s="3"/>
      <c r="N84" s="4" t="b">
        <v>0</v>
      </c>
      <c r="O84" s="4" t="s">
        <v>353</v>
      </c>
      <c r="P84" s="4"/>
      <c r="Q84" s="10"/>
      <c r="R84" s="4"/>
      <c r="S84" s="3" t="s">
        <v>60</v>
      </c>
      <c r="T84" s="4" t="s">
        <v>354</v>
      </c>
      <c r="U84" s="4"/>
    </row>
    <row r="85" spans="1:21" ht="112">
      <c r="A85" s="11" t="s">
        <v>355</v>
      </c>
      <c r="B85" s="3" t="str">
        <f t="shared" si="0"/>
        <v>assessment-5.3.2</v>
      </c>
      <c r="C85" s="3" t="str">
        <f t="shared" si="1"/>
        <v>V. Comunicare | Domanda 5.3.2</v>
      </c>
      <c r="D85" s="4" t="s">
        <v>27</v>
      </c>
      <c r="E85" s="6" t="s">
        <v>356</v>
      </c>
      <c r="F85" s="4"/>
      <c r="G85" s="3" t="s">
        <v>340</v>
      </c>
      <c r="H85" s="30"/>
      <c r="I85" s="4" t="b">
        <v>0</v>
      </c>
      <c r="J85" s="4">
        <v>1</v>
      </c>
      <c r="K85" s="4" t="s">
        <v>357</v>
      </c>
      <c r="L85" s="4"/>
      <c r="M85" s="3"/>
      <c r="N85" s="4" t="b">
        <v>0</v>
      </c>
      <c r="O85" s="4" t="s">
        <v>353</v>
      </c>
      <c r="P85" s="4"/>
      <c r="Q85" s="10"/>
      <c r="R85" s="4"/>
      <c r="S85" s="3" t="s">
        <v>65</v>
      </c>
      <c r="T85" s="4" t="s">
        <v>358</v>
      </c>
      <c r="U85" s="4"/>
    </row>
    <row r="86" spans="1:21" ht="80">
      <c r="A86" s="11" t="s">
        <v>359</v>
      </c>
      <c r="B86" s="3" t="str">
        <f t="shared" si="0"/>
        <v>assessment-5.3.3</v>
      </c>
      <c r="C86" s="3" t="str">
        <f t="shared" si="1"/>
        <v>V. Comunicare | Domanda 5.3.3</v>
      </c>
      <c r="D86" s="4" t="s">
        <v>27</v>
      </c>
      <c r="E86" s="6" t="s">
        <v>360</v>
      </c>
      <c r="F86" s="4"/>
      <c r="G86" s="3" t="s">
        <v>340</v>
      </c>
      <c r="H86" s="30"/>
      <c r="I86" s="4" t="b">
        <v>0</v>
      </c>
      <c r="J86" s="4">
        <v>1</v>
      </c>
      <c r="K86" s="4"/>
      <c r="L86" s="4" t="s">
        <v>361</v>
      </c>
      <c r="M86" s="3"/>
      <c r="N86" s="4" t="b">
        <v>0</v>
      </c>
      <c r="O86" s="4" t="s">
        <v>353</v>
      </c>
      <c r="P86" s="4"/>
      <c r="Q86" s="10"/>
      <c r="R86" s="4"/>
      <c r="S86" s="3" t="s">
        <v>69</v>
      </c>
      <c r="T86" s="4" t="s">
        <v>362</v>
      </c>
      <c r="U86" s="4"/>
    </row>
    <row r="87" spans="1:21" ht="96">
      <c r="A87" s="11" t="s">
        <v>363</v>
      </c>
      <c r="B87" s="3" t="str">
        <f t="shared" si="0"/>
        <v>assessment-5.3.4</v>
      </c>
      <c r="C87" s="3" t="str">
        <f t="shared" si="1"/>
        <v>V. Comunicare | Domanda 5.3.4</v>
      </c>
      <c r="D87" s="4" t="s">
        <v>27</v>
      </c>
      <c r="E87" s="6" t="s">
        <v>364</v>
      </c>
      <c r="F87" s="4"/>
      <c r="G87" s="3" t="s">
        <v>340</v>
      </c>
      <c r="H87" s="31"/>
      <c r="I87" s="4" t="b">
        <v>0</v>
      </c>
      <c r="J87" s="4">
        <v>1</v>
      </c>
      <c r="K87" s="4" t="s">
        <v>365</v>
      </c>
      <c r="L87" s="4"/>
      <c r="M87" s="3"/>
      <c r="N87" s="4" t="b">
        <v>0</v>
      </c>
      <c r="O87" s="4" t="s">
        <v>353</v>
      </c>
      <c r="P87" s="4"/>
      <c r="Q87" s="10"/>
      <c r="R87" s="4"/>
      <c r="S87" s="3" t="s">
        <v>73</v>
      </c>
      <c r="T87" s="4" t="s">
        <v>366</v>
      </c>
      <c r="U87" s="4"/>
    </row>
    <row r="88" spans="1:21" ht="149.25" customHeight="1">
      <c r="A88" s="11" t="s">
        <v>104</v>
      </c>
      <c r="B88" s="3" t="str">
        <f t="shared" si="0"/>
        <v>assessment-6.1</v>
      </c>
      <c r="C88" s="3" t="str">
        <f t="shared" si="1"/>
        <v>VI. Rimediare | Domanda 6.1</v>
      </c>
      <c r="D88" s="4" t="s">
        <v>27</v>
      </c>
      <c r="E88" s="6" t="s">
        <v>367</v>
      </c>
      <c r="F88" s="4"/>
      <c r="G88" s="3" t="s">
        <v>368</v>
      </c>
      <c r="H88" s="29" t="s">
        <v>369</v>
      </c>
      <c r="I88" s="4" t="b">
        <v>0</v>
      </c>
      <c r="J88" s="4">
        <v>1</v>
      </c>
      <c r="K88" s="4" t="s">
        <v>370</v>
      </c>
      <c r="L88" s="25" t="s">
        <v>371</v>
      </c>
      <c r="M88" s="26" t="s">
        <v>372</v>
      </c>
      <c r="N88" s="4" t="b">
        <v>0</v>
      </c>
      <c r="O88" s="2"/>
      <c r="P88" s="27"/>
      <c r="Q88" s="4"/>
      <c r="R88" s="4"/>
      <c r="S88" s="3">
        <v>1</v>
      </c>
      <c r="T88" s="4" t="s">
        <v>373</v>
      </c>
      <c r="U88" s="4"/>
    </row>
    <row r="89" spans="1:21" ht="64">
      <c r="A89" s="11" t="s">
        <v>109</v>
      </c>
      <c r="B89" s="3" t="str">
        <f t="shared" si="0"/>
        <v>assessment-6.2</v>
      </c>
      <c r="C89" s="3" t="str">
        <f t="shared" si="1"/>
        <v>VI. Rimediare | Domanda 6.2</v>
      </c>
      <c r="D89" s="4" t="s">
        <v>27</v>
      </c>
      <c r="E89" s="6" t="s">
        <v>374</v>
      </c>
      <c r="F89" s="4"/>
      <c r="G89" s="3" t="s">
        <v>368</v>
      </c>
      <c r="H89" s="30"/>
      <c r="I89" s="4" t="b">
        <v>0</v>
      </c>
      <c r="J89" s="4">
        <v>1</v>
      </c>
      <c r="K89" s="13"/>
      <c r="L89" s="4"/>
      <c r="M89" s="3"/>
      <c r="N89" s="4" t="b">
        <v>0</v>
      </c>
      <c r="O89" s="4"/>
      <c r="P89" s="4"/>
      <c r="Q89" s="4" t="s">
        <v>375</v>
      </c>
      <c r="R89" s="4" t="s">
        <v>376</v>
      </c>
      <c r="S89" s="3">
        <v>2</v>
      </c>
      <c r="T89" s="4" t="s">
        <v>377</v>
      </c>
      <c r="U89" s="4"/>
    </row>
    <row r="90" spans="1:21" ht="224">
      <c r="A90" s="11" t="s">
        <v>113</v>
      </c>
      <c r="B90" s="3" t="str">
        <f t="shared" si="0"/>
        <v>assessment-6.3</v>
      </c>
      <c r="C90" s="3" t="str">
        <f t="shared" si="1"/>
        <v>VI. Rimediare | Domanda 6.3</v>
      </c>
      <c r="D90" s="4" t="s">
        <v>27</v>
      </c>
      <c r="E90" s="6" t="s">
        <v>378</v>
      </c>
      <c r="F90" s="4"/>
      <c r="G90" s="3" t="s">
        <v>368</v>
      </c>
      <c r="H90" s="30"/>
      <c r="I90" s="4" t="b">
        <v>0</v>
      </c>
      <c r="J90" s="4">
        <v>1</v>
      </c>
      <c r="K90" s="14" t="s">
        <v>379</v>
      </c>
      <c r="L90" s="4"/>
      <c r="M90" s="3"/>
      <c r="N90" s="4" t="b">
        <v>0</v>
      </c>
      <c r="O90" s="4"/>
      <c r="P90" s="4"/>
      <c r="Q90" s="4" t="s">
        <v>375</v>
      </c>
      <c r="R90" s="4" t="s">
        <v>376</v>
      </c>
      <c r="S90" s="3">
        <v>3</v>
      </c>
      <c r="T90" s="4" t="s">
        <v>380</v>
      </c>
      <c r="U90" s="4"/>
    </row>
    <row r="91" spans="1:21" ht="48">
      <c r="A91" s="11" t="s">
        <v>117</v>
      </c>
      <c r="B91" s="3" t="str">
        <f t="shared" si="0"/>
        <v>assessment-6.4</v>
      </c>
      <c r="C91" s="3" t="str">
        <f t="shared" si="1"/>
        <v>VI. Rimediare | Domanda 6.4</v>
      </c>
      <c r="D91" s="4" t="s">
        <v>27</v>
      </c>
      <c r="E91" s="6" t="s">
        <v>381</v>
      </c>
      <c r="F91" s="4"/>
      <c r="G91" s="3" t="s">
        <v>368</v>
      </c>
      <c r="H91" s="30"/>
      <c r="I91" s="4" t="b">
        <v>0</v>
      </c>
      <c r="J91" s="4">
        <v>1</v>
      </c>
      <c r="K91" s="13"/>
      <c r="L91" s="4"/>
      <c r="M91" s="3"/>
      <c r="N91" s="4" t="b">
        <v>0</v>
      </c>
      <c r="O91" s="4"/>
      <c r="P91" s="4"/>
      <c r="Q91" s="4" t="s">
        <v>375</v>
      </c>
      <c r="R91" s="4" t="s">
        <v>376</v>
      </c>
      <c r="S91" s="3">
        <v>4</v>
      </c>
      <c r="T91" s="4" t="s">
        <v>382</v>
      </c>
      <c r="U91" s="4"/>
    </row>
    <row r="92" spans="1:21" ht="48">
      <c r="A92" s="11" t="s">
        <v>121</v>
      </c>
      <c r="B92" s="3" t="str">
        <f t="shared" si="0"/>
        <v>assessment-6.5</v>
      </c>
      <c r="C92" s="3" t="str">
        <f t="shared" si="1"/>
        <v>VI. Rimediare | Domanda 6.5</v>
      </c>
      <c r="D92" s="4" t="s">
        <v>27</v>
      </c>
      <c r="E92" s="6" t="s">
        <v>383</v>
      </c>
      <c r="F92" s="4"/>
      <c r="G92" s="3" t="s">
        <v>368</v>
      </c>
      <c r="H92" s="31"/>
      <c r="I92" s="4" t="b">
        <v>0</v>
      </c>
      <c r="J92" s="4">
        <v>1</v>
      </c>
      <c r="K92" s="4"/>
      <c r="L92" s="4" t="s">
        <v>371</v>
      </c>
      <c r="M92" s="3"/>
      <c r="N92" s="4" t="b">
        <v>0</v>
      </c>
      <c r="O92" s="4"/>
      <c r="P92" s="4"/>
      <c r="Q92" s="4" t="s">
        <v>375</v>
      </c>
      <c r="R92" s="4" t="s">
        <v>376</v>
      </c>
      <c r="S92" s="3">
        <v>5</v>
      </c>
      <c r="T92" s="4" t="s">
        <v>384</v>
      </c>
      <c r="U92" s="4" t="s">
        <v>385</v>
      </c>
    </row>
    <row r="93" spans="1:21" ht="48">
      <c r="A93" s="28" t="s">
        <v>386</v>
      </c>
      <c r="B93" s="3" t="str">
        <f t="shared" si="0"/>
        <v>assessment-6.6</v>
      </c>
      <c r="C93" s="3" t="str">
        <f t="shared" si="1"/>
        <v>VI. Rimediare | Domanda 6.6</v>
      </c>
      <c r="D93" s="4" t="s">
        <v>27</v>
      </c>
      <c r="E93" s="6" t="s">
        <v>387</v>
      </c>
      <c r="F93" s="4"/>
      <c r="G93" s="3" t="s">
        <v>368</v>
      </c>
      <c r="H93" s="26"/>
      <c r="I93" s="4" t="b">
        <v>0</v>
      </c>
      <c r="J93" s="4">
        <v>1</v>
      </c>
      <c r="K93" s="26"/>
      <c r="L93" s="26"/>
      <c r="M93" s="7"/>
      <c r="N93" s="4" t="b">
        <v>0</v>
      </c>
      <c r="O93" s="26"/>
      <c r="P93" s="26"/>
      <c r="Q93" s="26"/>
      <c r="R93" s="4"/>
      <c r="S93" s="7">
        <v>6</v>
      </c>
      <c r="T93" s="26" t="s">
        <v>388</v>
      </c>
      <c r="U93" s="26"/>
    </row>
  </sheetData>
  <mergeCells count="6">
    <mergeCell ref="H88:H92"/>
    <mergeCell ref="H10:H25"/>
    <mergeCell ref="H28:H40"/>
    <mergeCell ref="H41:H75"/>
    <mergeCell ref="H76:H80"/>
    <mergeCell ref="H81:H87"/>
  </mergeCells>
  <dataValidations count="7">
    <dataValidation type="list" allowBlank="1" showErrorMessage="1" sqref="F8" xr:uid="{00000000-0002-0000-0000-000000000000}">
      <formula1>"da 1 a 5 ettari,da 5 a 10 ettari,da 10 a 20 ettari,da 20 a 40 ettari,Più di 40 ettari"</formula1>
    </dataValidation>
    <dataValidation type="list" allowBlank="1" showErrorMessage="1" sqref="G2:G93" xr:uid="{00000000-0002-0000-0000-000001000000}">
      <formula1>"Anagrafica,I. Impegnarsi,II. Valutare,III. Agire,IV. Monitorare,V. Comunicare,VI. Rimediare"</formula1>
    </dataValidation>
    <dataValidation type="list" allowBlank="1" showErrorMessage="1" sqref="F4" xr:uid="{00000000-0002-0000-0000-000002000000}">
      <formula1>"Ditta individuale,Società semplice (S.s.)e 2,Società in nome collettivo (S.n.c.),Società in accomandita semplice (S.a.s.),Società a responsabilità limitata (S.r.l.),Società per azioni (S.p.A.),Società cooperativa,Impresa sociale,Azienda agricola individua"&amp;"le,Società agricola di persone,Società cooperativa agricola,Altro"</formula1>
    </dataValidation>
    <dataValidation type="list" allowBlank="1" showErrorMessage="1" sqref="F6" xr:uid="{00000000-0002-0000-0000-000003000000}">
      <formula1>"Nessuno,Da 1 a 3,Da 3 a 10,Più di 10"</formula1>
    </dataValidation>
    <dataValidation type="list" allowBlank="1" showErrorMessage="1" sqref="F7" xr:uid="{00000000-0002-0000-0000-000004000000}">
      <formula1>"Si,No,Talvolta"</formula1>
    </dataValidation>
    <dataValidation type="list" allowBlank="1" showErrorMessage="1" sqref="S2:S93" xr:uid="{00000000-0002-0000-0000-000005000000}">
      <formula1>"# Requisito,1,1.1,1.2,2,2.1,2.2,2.3,2.4,2.5,2.6,2.7,2.8,3,3.1,3.2,3.3,3.4,4,4.1,4.2,4.3,4.4,4.5,5,5.1,5.10,5.11,5.12,5.13,5.15,5.16,5.17,5.18,5.19,5.2,5.20,5.21,5.22,5.23,5.24,5.25,5.26,5.27,5.28,5.29,5.30,5.31,5.32,5.4,5.5,5.6,5.7,5.8,5.9,6,6.1,6.2,6.3,6"&amp;".4,6.5"</formula1>
    </dataValidation>
    <dataValidation type="list" allowBlank="1" showErrorMessage="1" sqref="F10:F11 F13:F93" xr:uid="{00000000-0002-0000-0000-000006000000}">
      <formula1>"Punto non adottato,Punto parzialmente adottato,Punto totalmente adottato,Non applicabile_questo punto non riguarda la mia impresa"</formula1>
    </dataValidation>
  </dataValidations>
  <hyperlinks>
    <hyperlink ref="U10" r:id="rId1" xr:uid="{00000000-0004-0000-0000-000000000000}"/>
  </hyperlinks>
  <pageMargins left="0.7" right="0.7" top="0.75" bottom="0.75" header="0.3" footer="0.3"/>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Completo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Federico Piovesan</cp:lastModifiedBy>
  <dcterms:modified xsi:type="dcterms:W3CDTF">2025-09-04T16:15:25Z</dcterms:modified>
</cp:coreProperties>
</file>