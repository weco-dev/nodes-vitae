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ederico/Downloads/"/>
    </mc:Choice>
  </mc:AlternateContent>
  <xr:revisionPtr revIDLastSave="0" documentId="13_ncr:1_{0DE48C37-1009-3F45-A433-D2F59479A2A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Comple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1" l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@a.cecconi@we.co.it Forse farei due domande separate, una per ragione sociale e l'altra per partita IVA?
	-Federico Piovesan</t>
        </r>
      </text>
    </comment>
    <comment ref="L10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@a.cecconi@we.co.it sbaglio o questo allegato non c'è più?
	-Federico Piovesan</t>
        </r>
      </text>
    </comment>
    <comment ref="A33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@a.cecconi@we.co.it qui forse manca la domanda group 2.2.4?
	-Federico Piovesan</t>
        </r>
      </text>
    </comment>
    <comment ref="J33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Verificare se il terzo punto non vada ulteriormente diviso
	-Federico Piovesan</t>
        </r>
      </text>
    </comment>
    <comment ref="E34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@a.cecconi@we.co.it potrebbe avere senso spostare la seconda frase (Ad esempio...) nella colonna help?
	-Federico Piovesan</t>
        </r>
      </text>
    </comment>
    <comment ref="E41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@a.cecconi@we.co.it potrebbe avere senso gestire sempre allo stesso modo gli esempi?
Modalità usate finora:
- Tenerli nella domanda, ma metterli dopo il punto di domanda in una nuova riga (2.2.4.2)
- Tenerli nella domanda, tra parentesi prima del punto di domanda (3.2 e 3.3)
- Spostarli nella parte help (da 3.10.4 a .3.10.6)
	-Federico Piovesan</t>
        </r>
      </text>
    </comment>
    <comment ref="E44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@a.cecconi@we.co.it sbaglio o qui ci sono due domande?
Ad es, come rispondo se nella mia impresa faccio il controllo iniziale, ma poi non tengo traccia?
	-Federico Piovesan</t>
        </r>
      </text>
    </comment>
    <comment ref="E48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@a.cecconi@we.co.it queste sono tre domande in una? 
Per adesso questa domanda viene ignorata nell'importazione
	-Federico Piovesan</t>
        </r>
      </text>
    </comment>
    <comment ref="E5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domanda doppia?
	-Federico Piovesan</t>
        </r>
      </text>
    </comment>
    <comment ref="J5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Su questo testo c'erano diversi problemi, come:
- spazi doppi (o tripli)
- accenti sbagliati (" e' " invece che "è")
- a capo sbagliati
Ho cercato di renderlo più leggibile, e sistemare gli errori che vedevo, ma forse un'ulteriore verifica non farebbe male
	-Federico Piovesan</t>
        </r>
      </text>
    </comment>
    <comment ref="E53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Domanda doppia?
	-Federico Piovesan</t>
        </r>
      </text>
    </comment>
  </commentList>
</comments>
</file>

<file path=xl/sharedStrings.xml><?xml version="1.0" encoding="utf-8"?>
<sst xmlns="http://schemas.openxmlformats.org/spreadsheetml/2006/main" count="424" uniqueCount="245">
  <si>
    <t>index</t>
  </si>
  <si>
    <t>questionId</t>
  </si>
  <si>
    <t>name</t>
  </si>
  <si>
    <t>type</t>
  </si>
  <si>
    <t>title</t>
  </si>
  <si>
    <t>section</t>
  </si>
  <si>
    <t>Descrizione Sezione</t>
  </si>
  <si>
    <t>isRequired</t>
  </si>
  <si>
    <t>score</t>
  </si>
  <si>
    <t>help</t>
  </si>
  <si>
    <t>reporting</t>
  </si>
  <si>
    <t>docs</t>
  </si>
  <si>
    <t>ignore</t>
  </si>
  <si>
    <t>parentQuestionId</t>
  </si>
  <si>
    <t>0.1</t>
  </si>
  <si>
    <t>text</t>
  </si>
  <si>
    <t>Ragione sociale e partita iva dell'azienda</t>
  </si>
  <si>
    <t>Anagrafica</t>
  </si>
  <si>
    <t>0.2</t>
  </si>
  <si>
    <t xml:space="preserve">Indicare la forma giuridica dell'impresa </t>
  </si>
  <si>
    <t>0.3</t>
  </si>
  <si>
    <t>Indicare l'indirizzo della sede legale</t>
  </si>
  <si>
    <t>0.4</t>
  </si>
  <si>
    <t>Indicare il numero di lavoratori dipendenti</t>
  </si>
  <si>
    <t>0.5</t>
  </si>
  <si>
    <t>L'impresa ricorre a società esterne per l'appalto della manodopera</t>
  </si>
  <si>
    <t>0.6</t>
  </si>
  <si>
    <t>Superficie agricola coltivata</t>
  </si>
  <si>
    <t>0.7</t>
  </si>
  <si>
    <t>Indicare le fasi della filiera svolte direttamente dall'impresa</t>
  </si>
  <si>
    <t>1.1</t>
  </si>
  <si>
    <t>radiogroup</t>
  </si>
  <si>
    <r>
      <rPr>
        <sz val="11"/>
        <color theme="1"/>
        <rFont val="Calibri"/>
        <family val="2"/>
      </rPr>
      <t>L'impresa ha formalizzato all'interno di un documento scritto e reso disponibile a tutte le parti interessate,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il proprio impegno a rispettare i diritti umani in coerenza con gli standard internazionali (Principi Guida Onu / Linee Guida OCSE)?
</t>
    </r>
  </si>
  <si>
    <t>I. Impegnarsi</t>
  </si>
  <si>
    <t>INTEGRARE LA CONDOTTA DI IMPRESA RESPONSABILE NELLE POLITICHE E NEI SISTEMI DI GESTIONE</t>
  </si>
  <si>
    <t xml:space="preserve">Il primo passo è impegnarsi pubblicamente a rispettare i diritti umani. Per fare questo occorre:
- Sensibilizzare la direzione e il personale
- Sviluppare e sottoscrivere un impegno al rispetto dei diritti umani
- Assegnare le responsabilità ai membri rilevanti dell'alta dirigenza e del personale
- Sensibilizzare il personale, i soci e i lavoratori agricoli 
</t>
  </si>
  <si>
    <t>[Allegato 1 | Condotta responsabile](../downloads/1-condotta-responsabile.pdf)</t>
  </si>
  <si>
    <t>1.2</t>
  </si>
  <si>
    <t>L'impresa ha definito, anche in modo semplice, dei principi (policy) e delle regole (procedure) che descrivano  l'impegno, gli obiettivi, le attività che intende portare avanti per una gestione responsabile della manodopera estesa anche ai propri fornitori / collaboratori?</t>
  </si>
  <si>
    <t>Una politica è un testo in cui un'organizzazione si pone un obiettivo e concorda principi generali e procedure per raggiungerlo. 
Le politiche sono utili, perché chiariscono gli obiettivi e guidano le decisioni e le attività successive, più dettagliate. 
Le politiche devono delineare le procedure, che forniscono istruzioni passo-passo per specifiche attività di routine.
Possono anche includere una lista di controllo o le fasi del processo da seguire.</t>
  </si>
  <si>
    <t>Requisito previsto dal report di sostenibilità Voluntary reporting standard for SMEs (VSME).
C6 par. 61 - l'impresa deve sviluppare un sistema di gestione che copra almeno i settori cruciali 
1. lavoro forzato 
2. lavoro minorile 
3. tratta di esseri umani 
4. discriminazione 
5. salute e sicurezza sul lavoro</t>
  </si>
  <si>
    <t>Come si scrive una policy?</t>
  </si>
  <si>
    <t>1.3</t>
  </si>
  <si>
    <t>group</t>
  </si>
  <si>
    <t>Le policy e le procedure (del punto precedente) devono includere le principali tematiche in materia di diritti umani e gestione responsabile della manodopera quali: lavoro forzato, lavoro minorile, disuguaglianza e discriminazione, salute e sicurezza dei lavoratori, tratta di esseri umani. Dunque:</t>
  </si>
  <si>
    <t>1.3.1</t>
  </si>
  <si>
    <r>
      <rPr>
        <sz val="11"/>
        <color theme="1"/>
        <rFont val="Calibri"/>
        <family val="2"/>
      </rPr>
      <t>L'impresa ha una politica e delle procedure per prevenire il lavoro forzato e per assicurarsi che lavoratrici e lavoratori *</t>
    </r>
    <r>
      <rPr>
        <b/>
        <sz val="11"/>
        <color theme="1"/>
        <rFont val="Calibri"/>
        <family val="2"/>
      </rPr>
      <t>siano reclutati e assunti in modo etico*</t>
    </r>
    <r>
      <rPr>
        <sz val="11"/>
        <color theme="1"/>
        <rFont val="Calibri"/>
        <family val="2"/>
      </rPr>
      <t>?</t>
    </r>
  </si>
  <si>
    <r>
      <rPr>
        <sz val="10"/>
        <color theme="1"/>
        <rFont val="Nunito"/>
      </rPr>
      <t xml:space="preserve">[Allegato 2 | Politica per il reclutamento e il lavoro etico](../downloads/2-policy-lavoro forzato.pdf)  </t>
    </r>
    <r>
      <rPr>
        <u/>
        <sz val="10"/>
        <color rgb="FF1155CC"/>
        <rFont val="Nunito"/>
      </rPr>
      <t xml:space="preserve">
</t>
    </r>
    <r>
      <rPr>
        <sz val="10"/>
        <color theme="1"/>
        <rFont val="Nunito"/>
      </rPr>
      <t xml:space="preserve">
[Allegato 2a | Indicatori per lo sfruttamento lavorativo](../downloads/2a-indicatori-sfruttamento.pdf)</t>
    </r>
  </si>
  <si>
    <t>assessment-1.3</t>
  </si>
  <si>
    <t>3.1</t>
  </si>
  <si>
    <t>1.3.2</t>
  </si>
  <si>
    <r>
      <rPr>
        <sz val="11"/>
        <color theme="1"/>
        <rFont val="Calibri"/>
        <family val="2"/>
      </rPr>
      <t>L'impresa ha una politica e delle procedure per assicurarsi che non si faccia ricorso al *</t>
    </r>
    <r>
      <rPr>
        <b/>
        <sz val="11"/>
        <color theme="1"/>
        <rFont val="Calibri"/>
        <family val="2"/>
      </rPr>
      <t>lavoro minorile*</t>
    </r>
    <r>
      <rPr>
        <sz val="11"/>
        <color theme="1"/>
        <rFont val="Calibri"/>
        <family val="2"/>
      </rPr>
      <t>?</t>
    </r>
  </si>
  <si>
    <t>[Allegato 3 | Politica contro il lavoro minorile](../downloads/3-lavoro-minorile.pdf)</t>
  </si>
  <si>
    <t>3.2</t>
  </si>
  <si>
    <t>1.3.3</t>
  </si>
  <si>
    <r>
      <rPr>
        <sz val="11"/>
        <color theme="1"/>
        <rFont val="Calibri"/>
        <family val="2"/>
      </rPr>
      <t>L'impresa ha una politica e delle procedure per prevenire ogni forma di *</t>
    </r>
    <r>
      <rPr>
        <b/>
        <sz val="11"/>
        <color theme="1"/>
        <rFont val="Calibri"/>
        <family val="2"/>
      </rPr>
      <t>disuguaglianza e discriminazione*</t>
    </r>
    <r>
      <rPr>
        <sz val="11"/>
        <color theme="1"/>
        <rFont val="Calibri"/>
        <family val="2"/>
      </rPr>
      <t>?</t>
    </r>
  </si>
  <si>
    <t>[Allegato 4 | Politica contro le discriminazioni](../downloads/4-policy-discriminazioni.pdf)</t>
  </si>
  <si>
    <t>3.3</t>
  </si>
  <si>
    <t>1.3.4</t>
  </si>
  <si>
    <r>
      <rPr>
        <sz val="11"/>
        <color theme="1"/>
        <rFont val="Calibri"/>
        <family val="2"/>
      </rPr>
      <t>L'impresa ha una politica e delle procedure che sanciscano l’impegno a tutelare la *</t>
    </r>
    <r>
      <rPr>
        <b/>
        <sz val="11"/>
        <color theme="1"/>
        <rFont val="Calibri"/>
        <family val="2"/>
      </rPr>
      <t>salute e la sicurezza di lavoratori*</t>
    </r>
    <r>
      <rPr>
        <sz val="11"/>
        <color theme="1"/>
        <rFont val="Calibri"/>
        <family val="2"/>
      </rPr>
      <t>, visitatori, collaboratori e appaltatori?</t>
    </r>
  </si>
  <si>
    <t>[Allegato 5 | Politica sulla salute e sicurezza dei lavoratori](../downloads/5-policy-salute-sicurezza.pdf)</t>
  </si>
  <si>
    <t>1.4.1</t>
  </si>
  <si>
    <t>I principi (policy) e le regole (procedure) sono state approvate dal titolare/responsabile legale dell'azienda?</t>
  </si>
  <si>
    <t>4.1</t>
  </si>
  <si>
    <t>1.4.2</t>
  </si>
  <si>
    <t>C’è una persona/responsabile, in azienda, incaricata di controllare che le regole sul rispetto dei diritti umani siano seguite?</t>
  </si>
  <si>
    <t>4.2</t>
  </si>
  <si>
    <t>1.4.3</t>
  </si>
  <si>
    <t>Quando sono state scritte le regole sul rispetto dei diritti dei lavoratori e collaboratori, l'impresa ha coinvolto o ascoltato qualcuno di questi?
- Esperti o consulenti del settore
- Persone che lavorano per l'impresa (dipendenti, collaboratori, fornitori)
- Sindacati o associazioni di tutela dei lavoratori</t>
  </si>
  <si>
    <t>1.4.4</t>
  </si>
  <si>
    <t>L'impresa ha previsto un modo per aggiornare le regole nel tempo, in base a nuovi rischi o cambiamenti delle normative o degli standard internazionali?</t>
  </si>
  <si>
    <t>1.5.1</t>
  </si>
  <si>
    <t>L’impresa ha aderito a una certificazione o partecipa a progetti insieme ad altri attori della filiera (es. associazioni o iniziative/progetti territoriali o multi attore) per garantire buone condizioni di lavoro e rispetto dei diritti umani?</t>
  </si>
  <si>
    <t>5.1</t>
  </si>
  <si>
    <t>1.5.2</t>
  </si>
  <si>
    <t>L'impresa è già in possesso di una certificazione che includa dei requisiti sul rispetto dei diritti umani come ad esempio: 
- SA8000 
- ISO 26000 
- Fair Trade / Commercio equo e solidale
- Global GAP GRASP 
- Sedex/SMETA 
- Equalitas</t>
  </si>
  <si>
    <t>Requisito previsto dal report di sostenibilità Voluntary reporting standard for SMEs (VSME).
Sezione B1 punto 25 VSMEs – Comunicare se in possesso di certificazioni o label di sostenibilità con breve descrizione, indicare il soggetto che ha rilasciato la certificazione o l’etichetta, la data e la valutazione ottenuta</t>
  </si>
  <si>
    <t>5.2</t>
  </si>
  <si>
    <t>1.6.1</t>
  </si>
  <si>
    <t>L’impresa inserisce nei contratti con i principali fornitori (quelli con cui ha un rapporto consolidato e continuativo) un impegno chiaro sul rispetto dei diritti delle persone che lavorano?</t>
  </si>
  <si>
    <t>[Allegato 7 | Clausole per i contratti con i fornitori](../downloads/7-clausole-fornitori.pdf)</t>
  </si>
  <si>
    <t>6.1</t>
  </si>
  <si>
    <t>1.6.2</t>
  </si>
  <si>
    <t>L’impresa ha spiegato ai propri fornitori e collaboratori cosa si aspetta da loro in termini di rispetto dei lavoratori e condizioni dignitose?</t>
  </si>
  <si>
    <t>6.2</t>
  </si>
  <si>
    <t>1.6.3</t>
  </si>
  <si>
    <t>L’impresa sceglie i fornitori anche in base al modo in cui trattano i loro lavoratori?</t>
  </si>
  <si>
    <t>6.3</t>
  </si>
  <si>
    <t>1.6.4</t>
  </si>
  <si>
    <t>L’impresa ha un modo (anche semplice) per ricevere informazioni dai fornitori o dai collaboratori sul rispetto dei lavoratori?</t>
  </si>
  <si>
    <t>6.4</t>
  </si>
  <si>
    <t>1.6.5</t>
  </si>
  <si>
    <t xml:space="preserve">L’impresa controlla, su base periodica, che i propri fornitori rispettino le regole che ha definito per garantire buone condizioni di lavoro?
</t>
  </si>
  <si>
    <t>6.5</t>
  </si>
  <si>
    <t>2.1</t>
  </si>
  <si>
    <t>L’impresa ha raccolto in un documento o schema l’elenco di tutti i fornitori e collaboratori coinvolti nel processo produttivo, dalla vigna fino alla vendita?</t>
  </si>
  <si>
    <t>II. Valutare</t>
  </si>
  <si>
    <t>INDIVIDUARE E VALUTARE GLI IMPATTI NEGATIVI NELLA CATENA DEL VALORE</t>
  </si>
  <si>
    <t>2.1.2</t>
  </si>
  <si>
    <t>L’impresa ha fatto una mappa dei propri processi e attività (come raccolta, lavorazione, vendita) per capire in quali fasi lavora con soggetti esterni come clienti, fornitori o distributori?</t>
  </si>
  <si>
    <t>2.1.3</t>
  </si>
  <si>
    <t>L’impresa ha mappato le proprie sedi operative e sa dove operano i suoi fornitori e collaboratori e ha raccolto le informazioni principali sulle loro sedi e attività?</t>
  </si>
  <si>
    <t>Nello standard Equalitas, ad esempio, richiedono di tenere appositi registri con i dati rilevanti per produttore agricolo: 
- nome del produttore
- identificazione del sito e indirizzo
- contatti del referente
- dati della produzione
- numero di lavoratori per genere
- lista delle pratiche di gestione del rischio
- vie di trasporto
- valutazioni del rischio effettuate</t>
  </si>
  <si>
    <t>2.2.1</t>
  </si>
  <si>
    <t>L’impresa ha cominciato a raccogliere informazioni e analizzarle per capire se le attività dei fornitori possono comportare rischi per i diritti dei lavoratori (es. lavoro non tutelato, sfruttamento, sicurezza)?</t>
  </si>
  <si>
    <t>Per effettuare una valutazione del rischio si dovrebbero:
1. Mappare i rischi e i problemi legati ai diritti umani e all'ambiente nel vostro Paese e nel vostro settore di produzione
2. Identificare e valutare almeno tre sfide più importanti per le vostre operazioni
3. Identificare i gruppi di persone più vulnerabili</t>
  </si>
  <si>
    <t>Requisito previsto dal report di sostenibilità Voluntary reporting standard for SMEs (VSME). 
Punti 2.1‑2.8</t>
  </si>
  <si>
    <t>[Allegato 8b | Risk assessment e rischi di filiera](../downloads/8b-risk-assessment.pdf)</t>
  </si>
  <si>
    <t>2.2.2</t>
  </si>
  <si>
    <t>L’impresa ha considerato, nel valutare i possibili rischi per i diritti umani, elementi come l’area geografica, il tipo di attività svolta/settore e fattori specifici di rischio per ciascun fornitore o partner commerciale?</t>
  </si>
  <si>
    <t>2.2.3</t>
  </si>
  <si>
    <t>L’impresa ha coinvolto, nel valutare i rischi sui propri fornitori, anche le persone potenzialmente più vulnerabili (es. stagionali, migranti, donne, giovani), o le associazioni che li rappresentano?</t>
  </si>
  <si>
    <t>2.2.4.1</t>
  </si>
  <si>
    <t>L’impresa ha identificato dei segnali d’allarme (“red flags”) per evidenziare attività o situazioni aziendali che possono nascondere problemi o rischi per i lavoratori?</t>
  </si>
  <si>
    <t>L’identificazione delle “red flags” può derivare da diversi tipi di valutazione del rischio. 
Ad esempio:
- Red flags geografiche: aree di conflitto o di governi instabili; aree in cui ci sono forme di sfruttamento riportate; aree in cui sono contestati i diritti proprietari sulla terra; aree in cui vi è carenza di cibo o acqua
- Red flags prodotti: produzioni agricole notoriamente connesse a impatti negativi sui diritti umani
- Red flags partner commerciali: storico di inosservanza pratiche di condotta d’impresa responsabile (ad esempio segnalazioni di pratiche commerciali sleali in agricoltura ai sensi della Direttiva 633/2019 recepite in Italia nel D.L. 198/2021 o politiche dei prezzi insufficienti a coprire i costi di produzione); pratiche di fornitura da aree a rischio negli ultimi 12 mesi; partecipazioni o quote in imprese che non rispettano gli standard di condotta d’impresa responsabile.</t>
  </si>
  <si>
    <t>2.2.4.2</t>
  </si>
  <si>
    <t>Per ogni segnale d’allarme individuato, l’impresa ha previsto un’analisi più approfondita, ad esempio attraverso controlli sul campo o raccolta diretta di informazioni?
Ad esempio: ha verificato, anche intervistando i lavoratori, che il fornitore di manodopera paghi salari equi e con regolarità?</t>
  </si>
  <si>
    <t>2.2.5</t>
  </si>
  <si>
    <t>L’impresa ha stabilito (anche per iscritto) che la valutazione dei rischi venga aggiornata periodicamente e ogni qualvolta cambi qualcosa di rilevante (nuovi prodotti, nuovi mercati, nuovi partner)?</t>
  </si>
  <si>
    <t>2.2.6</t>
  </si>
  <si>
    <t xml:space="preserve">L’impresa ha previsto una scala di priorità per i rischi, in modo da dare più attenzione a quelli più gravi o più probabili?
</t>
  </si>
  <si>
    <t>2.2.7</t>
  </si>
  <si>
    <t xml:space="preserve">L’impresa ha previsto un sistema per raccogliere e aggiornare informazioni dirette dal campo su come si svolge il lavoro agricolo (es. condizioni di lavoro, metodi di produzione)?
</t>
  </si>
  <si>
    <t>2.2.8</t>
  </si>
  <si>
    <t>Nel valutare i rischi, l’impresa distingue se un problema dipende direttamente dalle sue attività, se contribuisce al problema insieme ad altri, o se riguarda un fornitore o un collaboratore?</t>
  </si>
  <si>
    <t>I diversi livelli di coinvolgimento dell’impresa  includono la causa, il contributo o il collegamento diretto.
- Se l’impresa causa la violazione, dovrà cessare e rimediare l’impatto negativo causato.
- Se l’impresa contribuisce alla violazione dovrà cessare e rimediare l’impatto negativo e/o utilizzare il proprio leverage nei confronti del soggetto terzo che ha co-causato l’impatto negativo.
- Se l’impresa non ha né causato né contribuito all’impatto negativo, ma vi è direttamente collegata in virtù dei propri prodotti, servizi o operazioni, dovrà utilizzare il leverage nei confronti del soggetto che causa la violazione al fine della cessazione del comportamento lesivo; in mancanza, incrementare detto leverage e, in ultima istanza, interrompere la relazione commerciale.</t>
  </si>
  <si>
    <t>2.2.9</t>
  </si>
  <si>
    <t xml:space="preserve">L’impresa raccoglie informazioni sui rischi delle attività dei partner commerciali attraverso una o più di queste modalità:
- Direttamente (con visite o controlli in azienda)
- Indirettamente (verificando certificazioni o documenti)
- Con il supporto di altri soggetti, come fornitori o intermediari
</t>
  </si>
  <si>
    <t>L’impresa ha un modo semplice e veloce per far arrivare i risultati dei controlli interni (su lavoro e reclutamento etico e sicurezza) a chi in azienda può intervenire subito per risolvere o prevenire i problemi?</t>
  </si>
  <si>
    <t>III. Agire</t>
  </si>
  <si>
    <t>CESSARE, PREVENIRE E MITIGARE GLI IMPATTI NEGATIVI</t>
  </si>
  <si>
    <t>L’impresa ha deciso chi, tra i responsabili o soci, si occupa di intervenire per evitare problemi legati ai diritti umani (es. turni eccessivi, pagamenti irregolari, mancanza di sicurezza)?</t>
  </si>
  <si>
    <t>L’impresa ha preparato un piano per prevenire o ridurre problemi futuri sui diritti dei lavoratori, in base a quanto è coinvolta (per esempio: causa diretta, corresponsabile o collegata a un fornitore)?</t>
  </si>
  <si>
    <t>3.4.1</t>
  </si>
  <si>
    <t>L’impresa tiene un registro con i dati principali di chi lavora, inclusi stagionali e lavoratori esterni e/o in subbalto, dove annota almeno: 
- Nome 
- Genere 
- Età 
- Nazionalità 
- Inizio e fine rapporto
- Tipo di rapporto di lavoro
- Compenso (giornaliero/mensile)
- Giornate lavorate
L’impresa verifica che i dati dei lavoratori siano corretti confrontando i documenti originali e controllando che la persona corrisponda ai documenti presentati?</t>
  </si>
  <si>
    <t>3.4.2</t>
  </si>
  <si>
    <t>L’impresa fa un controllo iniziale sui fornitori di manodopera (es. cooperative), per assicurarsi che siano in regola, abbiano le autorizzazioni allo svolgimento delle attività e non abbiano procedimenti aperti? Tiene traccia di queste verifiche?</t>
  </si>
  <si>
    <t>3.4.3</t>
  </si>
  <si>
    <t xml:space="preserve">L’impresa ha un metodo per assegnare ruoli e incarichi basato sulle competenze e pari opportunità, e si impegna a formare i lavoratori per crescere nel lavoro?
</t>
  </si>
  <si>
    <t>3.4.4</t>
  </si>
  <si>
    <t xml:space="preserve">L’impresa tiene traccia dei motivi per cui assume, promuove o interrompe un contratto di lavoro?
</t>
  </si>
  <si>
    <t>3.4.5</t>
  </si>
  <si>
    <t>L’impresa ha messo in piedi un sistema per permettere ai lavoratori di segnalare problemi legati a discriminazioni o molestie di genere, con garanzie per chi segnala?</t>
  </si>
  <si>
    <t>3.5.1</t>
  </si>
  <si>
    <t xml:space="preserve">a) L’impresa ha un metodo per assicurarsi che nessun minorenne sotto i 16 anni venga assunto?
b) Tiene un registro con informazioni come età, genere e nazionalità di tutti i lavoratori?
c) Ha controllato che i documenti anagrafici dei lavoratori siano autentici e che corrispondano effettivamente alla persona assunta?
</t>
  </si>
  <si>
    <t>3.5.2</t>
  </si>
  <si>
    <t>Se impiega ragazzi tra i 16 e i 18 anni, l’impresa si assicura che non svolgano mansioni pericolose o che interferiscano con la loro salute o scuola?</t>
  </si>
  <si>
    <t>Esempi di lavoro pericoloso includono: 
- maneggiare e applicare sostanze chimiche, pesticidi e insetticidi
- lavoro agricolo a temperature o in luoghi pericolosi per la salute
- utilizzo di macchinari e attrezzi pericolosi
- maneggiare o gestire rifiuti pericolosi</t>
  </si>
  <si>
    <t>3.6.1</t>
  </si>
  <si>
    <t>L’impresa evita di trattenere documenti o compensi o beni dei lavoratori e garantisce che possano interrompere il contratto senza vincoli ingiusti?</t>
  </si>
  <si>
    <t>3.6.2</t>
  </si>
  <si>
    <t xml:space="preserve">L’impresa adotta misure per evitare lo sfruttamento lavorativo, come previsto dal Codice Penale (articolo 603 bis)?
Si assicura che anche i fornitori di manodopera rispettino questi principi?
</t>
  </si>
  <si>
    <t>*Art. 603-bis (Intermediazione illecita e sfruttamento del lavoro)*
Salvo che il fatto costituisca piu' grave  reato, chiunque svolga un'attività organizzata di intermediazione, reclutando manodopera  o organizzandone l'attivita' lavorativa caratterizzata da sfruttamento, mediante violenza, minaccia, o intimidazione, approfittando  dello stato di bisogno o di necessita' dei lavoratori, è punito con la reclusione da cinque a otto anni e con la multa da 1.000 a 2.000 euro per ciascun lavoratore reclutato.
Ai fini del primo comma,  costituisce  indice  di  sfruttamento la sussistenza di una o più delle seguenti circostanze: 
1. la sistematica retribuzione dei lavoratori in modo palesemente difforme dai contratti collettivi nazionali o comunque sproporzionato rispetto alla quantita' e qualita' del lavoro prestato; 
2. la sistematica violazione della normativa relativa  all'orario di lavoro, al riposo settimanale, all'aspettativa obbligatoria,  alle ferie; 
3. la sussistenza di violazioni della  normativa  in  materia  di sicurezza  e  igiene  nei  luoghi  di  lavoro,  tale  da  esporre  il lavoratore a pericolo per la salute,  la  sicurezza  o  l'incolumita' personale; 
4. la sottoposizione  del  lavoratore  a  condizioni  di  lavoro, metodi di sorveglianza, o a situazioni  alloggiative  particolarmente degradanti. 
Costituiscono aggravante specifica  e  comportano  l'aumento  della pena da un terzo alla metà:
1. il fatto che il numero di lavoratori reclutati sia superiore a tre; 
2. il fatto che uno o piu' dei soggetti reclutati siano minori in eta' non lavorativa; 
3. l'aver commesso il fatto esponendo i lavoratori intermediati a situazioni di grave pericolo,  avuto  riguardo  alle  caratteristiche delle prestazioni da svolgere e delle condizioni di lavoro. 
*Art. 603-ter (Pene accessorie)*
La condanna per i delitti di  cui agli articoli 600, limitatamente ai casi in cui lo sfruttamento ha ad oggetto prestazioni lavorative,  e 603-bis, importa l'interdizione dagli uffici direttivi delle  persone  giuridiche  o  delle  imprese, nonche' il divieto di concludere contratti  di  appalto,  di  cottimo fiduciario, di fornitura di opere,  beni  o  servizi  riguardanti  la pubblica amministrazione, e relativi subcontratti. 
La condanna per i delitti di cui al primo  comma  importa  altresi' l'esclusione per un  periodo  di due anni da agevolazioni, finanziamenti, contributi o sussidi da parte dello Stato o di altri enti pubblici, nonche' dell'Unione europea, relativi  al  settore  di attivita' in cui ha avuto luogo lo sfruttamento.  
L'esclusione di cui al secondo comma è  aumentata  a  cinque anni quando il fatto è commesso da soggetto al quale sia stata  applicata la recidiva ai sensi dell'articolo 99, secondo comma,  numeri 1) e 3).</t>
  </si>
  <si>
    <t>3.6.3</t>
  </si>
  <si>
    <t>L’impresa si assicura che anche gli intermediari e gli appaltatori applichino le stesse misure (ovvero che non venga trattenuta parte del compenso dei lavoratori, o beni e documenti di questi ultimi, al fine di forzare la permanenza dei lavoratori nel rapporto lavorativo e garantire la possibilità di risolvere il contratto di lavoro, non imponendo termini irragionevoli di preavviso)?</t>
  </si>
  <si>
    <t>3.6.4</t>
  </si>
  <si>
    <t>L’impresa paga i lavoratori seguendo il CCNL applicabile?
Se non applica un CCNL, si assicura che i compensi siano comunque equi e sufficienti a coprire i bisogni dei lavoratori e delle loro famiglie?</t>
  </si>
  <si>
    <t>3.6.5</t>
  </si>
  <si>
    <t>L’impresa si assicura che anche gli intermediari e gli appaltatori (o altri fornitori rilevanti) siano pagati abbastanza per coprire i costi del lavoro e avere un margine equo?</t>
  </si>
  <si>
    <t>3.6.6</t>
  </si>
  <si>
    <t xml:space="preserve">L’impresa paga i lavoratori con regolarità e tiene registri sulle ore lavorate e sui compensi corrisposti?
</t>
  </si>
  <si>
    <t>3.6.7</t>
  </si>
  <si>
    <t xml:space="preserve">L’impresa firma un contratto scritto con ogni lavoratore, chiaro su diritti, doveri, orari e compenso?
</t>
  </si>
  <si>
    <t>3.6.8</t>
  </si>
  <si>
    <t>IF a) = "SI" THEN | IF a) = "NO" go to 
Fornisce una copia firmata del contratto in una lingua che il lavoratore comprende?</t>
  </si>
  <si>
    <t>3.7.1</t>
  </si>
  <si>
    <t>L’impresa comunica con i rappresentanti dei lavoratori in caso di cambiamenti importanti che possono avere impatti sull’occupazione (es. chiusura di uno stabilimento, interruzione delle attività in campo)?</t>
  </si>
  <si>
    <t>3.7.2</t>
  </si>
  <si>
    <t xml:space="preserve">L’impresa consulta in modo regolare i lavoratori e/o i loro rappresentanti?
</t>
  </si>
  <si>
    <t>3.7.3</t>
  </si>
  <si>
    <t xml:space="preserve">L’impresa condivide con i lavoratori informazioni utili per facilitare buone relazioni e negoziazioni interne?
</t>
  </si>
  <si>
    <t>3.7.4</t>
  </si>
  <si>
    <t xml:space="preserve">L’impresa tiene traccia del motivo per cui un contratto è stato chiuso e se il lavoratore era iscritto a un sindacato?
</t>
  </si>
  <si>
    <t>3.8.1</t>
  </si>
  <si>
    <t>L’impresa garantisce ai propri dipendenti la formazione per svolgere bene il loro lavoro e per crescere professionalmente?</t>
  </si>
  <si>
    <t>3.8.2</t>
  </si>
  <si>
    <t>L’impresa promuove la formazione di giovani e donne per facilitarne l’accesso al lavoro o all’imprenditorialità?</t>
  </si>
  <si>
    <t>3.8.3</t>
  </si>
  <si>
    <t>L’impresa ha un piano di formazione/informazione continua sui diritti e i doveri dei lavoratori, svolto durante l’orario di lavoro retribuito?</t>
  </si>
  <si>
    <t>3.9.1</t>
  </si>
  <si>
    <t xml:space="preserve">L’impresa ha adottato misure per proteggere i lavoratori da sostanze chimiche pericolose?
</t>
  </si>
  <si>
    <t>3.9.2</t>
  </si>
  <si>
    <t xml:space="preserve">L’impresa garantisce un uso sicuro di macchinari e attrezzature?
</t>
  </si>
  <si>
    <t>3.9.3</t>
  </si>
  <si>
    <t xml:space="preserve">L’impresa fornisce i dispositivi di protezione personale (DPI) e verifica che vengano usati correttamente dai lavoratori propri/e e da quelli che operano all'interno della proprietà aziendale?
</t>
  </si>
  <si>
    <t>3.9.4</t>
  </si>
  <si>
    <t xml:space="preserve">L’impresa ha formato i lavoratori che usano sostanze o attrezzature pericolose, assicurandosi che anche chi non parla bene italiano capisca bene i rischi e le istruzioni?
</t>
  </si>
  <si>
    <t>In particolare, la formazione include indicazioni su come stoccare in maniera appropriata pesticidi e sostanze chimiche, come comprendere le etichette e istruzioni di prodotto, come gestire gli incidenti, come smaltire i contenitori vuoti, eventuali intervalli nell’utilizzo delle sostanze chimiche, attraverso istruzioni chiare, illustrate e visibili sul luogo di lavoro.</t>
  </si>
  <si>
    <t>3.9.5</t>
  </si>
  <si>
    <t xml:space="preserve">L’impresa fa attenzione a non usare pesticidi e sostanze chimiche a meno di 10 metri da zone frequentate da persone, a meno che ci siano barriere protettive?
</t>
  </si>
  <si>
    <t>3.9.6</t>
  </si>
  <si>
    <t xml:space="preserve">L’impresa garantisce acqua potabile e servizi igienici (separati per donne e uomini) in numero sufficiente per i lavoratori?
</t>
  </si>
  <si>
    <t>3.9.7</t>
  </si>
  <si>
    <t xml:space="preserve">L’impresa evita di assegnare lavori pericolosi a persone vulnerabili come minorenni, donne in gravidanza, disabili o lavoratori con patologie?
</t>
  </si>
  <si>
    <t>3.10.1</t>
  </si>
  <si>
    <t xml:space="preserve">L’impresa ha una policy scritta contro la violenza e la discriminazione di genere sul luogo di lavoro?
</t>
  </si>
  <si>
    <t>Ad es. inclusivo di sistemi di raccolta e valutazione dei dati disaggregati per genere per comprendere gli impatti di genere dell’attività dell’impresa; di processi che favoriscano l’inclusione e la partecipazione delle donne es. sostenere la partecipazione paritetica e significativa delle donne in consultazioni e negoziazioni</t>
  </si>
  <si>
    <t>3.10.2</t>
  </si>
  <si>
    <t xml:space="preserve">L’impresa ha informato lavoratori e partner sull’esistenza della policy e ha formato il personale sui suoi contenuti?
</t>
  </si>
  <si>
    <t>3.10.3</t>
  </si>
  <si>
    <t xml:space="preserve">L’impresa ha un sistema di segnalazione per casi di violenza o discriminazione di genere che garantisca riservatezza e protezione per chi segnala?
</t>
  </si>
  <si>
    <t>3.10.4</t>
  </si>
  <si>
    <t>L’impresa ha previsto la possibilità di fermare temporaneamente o definitivamente alcune attività se emergono problemi gravi che danneggiano i diritti delle persone coinvolte (es. lavoratori, comunità locali)?
Esempio: se una certa pratica aziendale mette a rischio la salute dei lavoratori, l’azienda può decidere di sospendere l’attività fino a trovare una soluzione.</t>
  </si>
  <si>
    <t>Esempio: se una certa pratica aziendale mette a rischio la salute dei lavoratori, l’azienda può decidere di sospendere l’attività fino a trovare una soluzione.</t>
  </si>
  <si>
    <t>3.10.5</t>
  </si>
  <si>
    <t>L’impresa ha definito in anticipo un sistema per chiudere o sospendere i contratti con fornitori o partner che continuano a causare gravi problemi o violazioni dei diritti umani, anche dopo che è stato chiesto loro di cambiare?
Esempio: se un fornitore sfrutta la manodopera o paga salari troppo bassi e non si adegua, l’impresa può scegliere di interrompere la collaborazione.</t>
  </si>
  <si>
    <t>Esempio: se un fornitore sfrutta la manodopera o paga salari troppo bassi e non si adegua, l’impresa può scegliere di interrompere la collaborazione.</t>
  </si>
  <si>
    <t>3.10.6</t>
  </si>
  <si>
    <t xml:space="preserve"> Se l’impresa non riesce a fermare del tutto un’attività che ha effetti negativi, ha previsto un piano a lungo termine per ridurre il danno nel tempo e proteggere le persone coinvolte?
Esempio: se un’attività è difficile da sostituire ma causa disagi ai lavoratori o rischi per la salute, l’azienda definisce un percorso per migliorare gradualmente la situazione.</t>
  </si>
  <si>
    <t>Esempio: se un’attività è difficile da sostituire ma causa disagi ai lavoratori o rischi per la salute, l’azienda definisce un percorso per migliorare gradualmente la situazione</t>
  </si>
  <si>
    <t>L’impresa verifica almeno una volta all’anno che quando scritto nelle policy (soprattutto in materia di discriminazione, violenza di genere, salute e sicurezza, lavoro forzato, lavoro minorile) venga applicato e rispettato attraverso controlli interni, colloqui con i lavoratori e sindacati?</t>
  </si>
  <si>
    <t>IV. Monitorare</t>
  </si>
  <si>
    <t xml:space="preserve">Se le misure adottate non funzionano, l’impresa ha un processo per rivederle e migliorarle?
</t>
  </si>
  <si>
    <t>Il processo può concentrarsi su nodi chiave della filiera o "colli di bottiglia" ("choke points") identificando alcuni attori nella filiera sulla base di:
- punti chiave di trasformazione nella filiera
- punti della filiera in cui ci sono meno attori o punti di aggregazione dei prodotti
- punti in cui le aziende che vendono o distribuiscono il prodotto finale hanno più forza o strumenti per influenzare il mercato o i fornitori
- punti di operatività di schemi di certificazione e programmi di audit</t>
  </si>
  <si>
    <t>L’impresa pubblica un rapporto (anche semplice) che spiega cosa fa per tutelare i diritti umani e prevenire i rischi?</t>
  </si>
  <si>
    <t>V. Comunicare</t>
  </si>
  <si>
    <t>COMUNICARE COME L'IMPRESA AFFRONTA GLI IMPATTI</t>
  </si>
  <si>
    <t>L’impresa aggiorna periodicamente clienti, fornitori, istituzioni o comunità locali sui progressi fatti nella gestione dei rischi?</t>
  </si>
  <si>
    <t>5.3</t>
  </si>
  <si>
    <t xml:space="preserve">L’impresa ha un sistema per raccogliere e comunicare dati su:
</t>
  </si>
  <si>
    <t>Requisito previsto dal report di sostenibilità Voluntary reporting standard for SMEs (VSME).</t>
  </si>
  <si>
    <t>5.3.1</t>
  </si>
  <si>
    <t>il numero dei dipendenti con indicazione del tipo di contratto (temporaneo o permanente), genere, paese di impiego?</t>
  </si>
  <si>
    <t>assessment-5.3</t>
  </si>
  <si>
    <t>5.3.2</t>
  </si>
  <si>
    <t>il numero e la percentuale di incidenti collegati al lavoro e numero di decessi connessi a indicenti e malattie collegate al lavoro (calcolati sulla base del numero di incidenti per anno rendicontato / numero totale delle ore lavorate nell’anno da tutti i dipendenti x 200.000)?</t>
  </si>
  <si>
    <t>200.000 è un un'unità comparativa e rappresenta il totale di ore lavorate da 100 dipendenti a tempo pieno in un anno</t>
  </si>
  <si>
    <t>5.3.3</t>
  </si>
  <si>
    <t>l'allineamento delle paghe con i compensi minimi previsto dalla legge nazionale o dal CCNL applicabile, la percentuale di differenza della paga per genere, la percentuale di dipendenti coperti da CCNL, il numero medio di ore di formazione per dipendente diviso per genere?</t>
  </si>
  <si>
    <t>Requisito previsto dal report di sostenibilità Voluntary reporting standard for SMEs (VSME).
[cfr. formule par. 200 e 203 VSMEs per calcolare inserire in box]</t>
  </si>
  <si>
    <t>5.3.4</t>
  </si>
  <si>
    <t>la presenza di eventuali incidenti gravi confermati oppure denunce o reclami ricevuti, irregolarità accertate tramite controlli, o altre segnalazioni formali.
Il sistema prevede anche di documentare quali azioni sono state intraprese dall’impresa per affrontare questi problemi?
Questo vale sia per episodi che coinvolgono direttamente i lavoratori dell’azienda, sia per fatti noti che riguardano fornitori, clienti, comunità locali o consumatori.</t>
  </si>
  <si>
    <t>L’impresa ha un sistema (documentato) per permettere ai lavoratori di segnalare problemi legati ai diritti umani?</t>
  </si>
  <si>
    <t>VI. Rimediare</t>
  </si>
  <si>
    <t>RIMEDI</t>
  </si>
  <si>
    <t>Occorre dare la possibilità ai lavoratori di accedere a meccanismi di reclamo in modo riservato, ecco alcuni esempi di come possono essere inviate le segnalazioni: 
- Per iscritto o a voce a un rappresentante dei lavoratori formato e fidato;
- Attraverso i referenti dei dipendenti, come ad esempio supervisori, dirigenti, risorse
umane, ecc.;
- In una cassetta dei suggerimenti disponibile presso i luoghi di lavoro;
- Attraverso applicazioni telefoniche, risposte vocali interattive o applicazioni mobili;
- Con una linea di assistenza indipendente, specializzata, multilingue, confidenziale ed
anonima.
Esempi di reclami/segnalazioni possono riguardare questioni come violenza, comportamenti abusivi, bullismo, intimidazione, corruzione, discriminazione, molestie, vittimizzazione, spese di assunzione, alloggio inadeguato, lavoro forzato e sfruttamento del lavoro. 
Possono concernere anche la violenza e le molestie di genere, compresa la violenza verbale, fisica e sessuale.</t>
  </si>
  <si>
    <t>Requisito previsto dal report di sostenibilità Voluntary reporting standard for SMEs (VSME).
Paragrafo 61</t>
  </si>
  <si>
    <t>[Allegato 8c | Piano di risposta e rimedio in caso di sfruttamento](../downloads/8c-risposta-rimedio.pdf)</t>
  </si>
  <si>
    <t xml:space="preserve">Il sistema di reclamo è accessibile anche ad altri soggetti esterni che possono subire danni o conseguenze negative dalle attività dell'impresa (es. fornitori, comunità)?
</t>
  </si>
  <si>
    <t xml:space="preserve">Il sistema garantisce anonimato, accessibilità e protezione per chi segnala? Ed è prevista l'esistenza di un garante esterno all'impresa?
</t>
  </si>
  <si>
    <t>Chi può fare da garante?
- Consulente del lavoro o commercialista di fiducia dell’azienda 
- Associazione agricola di categoria se offre uno sportello o funzione di mediazione indipendente
- Rappresentante sindacale territoriale (anche per lavoratori stranieri), se disponibile e riconosciuto da ambo le parti
- Organizzazioni del terzo settore attive sul territorio in tutela di lavoratori o migranti (es. cooperative sociali, sportelli diritti)
- Mediatore culturale o volontario di una associazione di supporto ai braccianti o ai migranti
- Organismo paritetico o ente bilaterale agricolo provinciale, se attivo sul territorio</t>
  </si>
  <si>
    <t xml:space="preserve">L’impresa tiene un registro delle segnalazioni e aggiorna i propri documenti in base ai problemi emersi?
</t>
  </si>
  <si>
    <t xml:space="preserve">L’impresa ha una procedura per gestire i reclami ricevuti legati ai diritti dei lavoratori?
</t>
  </si>
  <si>
    <t>6.6</t>
  </si>
  <si>
    <t xml:space="preserve">L’impresa collabora con le autorità se vengono riscontrate irregolarità nei propri processi o in quelli dei suoi fornitori?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</si>
</sst>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rgb="FF000000"/>
      <name val="Nunito"/>
    </font>
    <font>
      <sz val="10"/>
      <color rgb="FF000000"/>
      <name val="Nunito"/>
    </font>
    <font>
      <sz val="11"/>
      <color theme="1"/>
      <name val="Calibri"/>
      <family val="2"/>
    </font>
    <font>
      <sz val="10"/>
      <color theme="1"/>
      <name val="Nunito"/>
    </font>
    <font>
      <sz val="10"/>
      <name val="Arial"/>
      <family val="2"/>
    </font>
    <font>
      <u/>
      <sz val="10"/>
      <color rgb="FF0000FF"/>
      <name val="Nunito"/>
    </font>
    <font>
      <b/>
      <sz val="10"/>
      <color theme="1"/>
      <name val="Nunito"/>
    </font>
    <font>
      <b/>
      <sz val="11"/>
      <color theme="1"/>
      <name val="Calibri"/>
      <family val="2"/>
    </font>
    <font>
      <u/>
      <sz val="10"/>
      <color rgb="FF1155CC"/>
      <name val="Nunito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49" fontId="2" fillId="0" borderId="1" xfId="0" quotePrefix="1" applyNumberFormat="1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0" fontId="4" fillId="0" borderId="1" xfId="0" quotePrefix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2" borderId="1" xfId="0" quotePrefix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5" fillId="0" borderId="4" xfId="0" applyFont="1" applyBorder="1"/>
    <xf numFmtId="0" fontId="5" fillId="0" borderId="5" xfId="0" applyFont="1" applyBorder="1"/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rive.google.com/file/d/11PtbJlDlnbVmdgQhXrouAMmQ04pRaH_2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baseColWidth="10" defaultColWidth="12.6640625" defaultRowHeight="15.75" customHeight="1" outlineLevelCol="1"/>
  <cols>
    <col min="1" max="1" width="10.5" customWidth="1"/>
    <col min="2" max="3" width="24" customWidth="1"/>
    <col min="4" max="4" width="25.1640625" customWidth="1"/>
    <col min="5" max="5" width="62.1640625" customWidth="1"/>
    <col min="6" max="6" width="24" customWidth="1"/>
    <col min="7" max="7" width="40" hidden="1" customWidth="1"/>
    <col min="8" max="8" width="25.1640625" customWidth="1"/>
    <col min="9" max="9" width="27.6640625" customWidth="1"/>
    <col min="10" max="10" width="52.1640625" customWidth="1"/>
    <col min="11" max="11" width="43.1640625" customWidth="1"/>
    <col min="12" max="12" width="49.5" customWidth="1"/>
    <col min="13" max="13" width="27.6640625" customWidth="1"/>
    <col min="14" max="14" width="27.33203125" customWidth="1" outlineLevel="1"/>
  </cols>
  <sheetData>
    <row r="1" spans="1:14" ht="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</row>
    <row r="2" spans="1:14" ht="21" customHeight="1">
      <c r="A2" s="3" t="s">
        <v>14</v>
      </c>
      <c r="B2" s="3" t="str">
        <f t="shared" ref="B2:B92" si="0">"assessment-"&amp;A2</f>
        <v>assessment-0.1</v>
      </c>
      <c r="C2" s="3" t="str">
        <f t="shared" ref="C2:C92" si="1">F2&amp;" | Domanda "&amp;A2</f>
        <v>Anagrafica | Domanda 0.1</v>
      </c>
      <c r="D2" s="4" t="s">
        <v>15</v>
      </c>
      <c r="E2" s="4" t="s">
        <v>16</v>
      </c>
      <c r="F2" s="3" t="s">
        <v>17</v>
      </c>
      <c r="G2" s="4"/>
      <c r="H2" s="4" t="b">
        <v>0</v>
      </c>
      <c r="I2" s="4">
        <v>1</v>
      </c>
      <c r="J2" s="4"/>
      <c r="K2" s="4"/>
      <c r="L2" s="3"/>
      <c r="M2" s="4" t="b">
        <v>0</v>
      </c>
      <c r="N2" s="4"/>
    </row>
    <row r="3" spans="1:14" ht="20.25" customHeight="1">
      <c r="A3" s="3" t="s">
        <v>18</v>
      </c>
      <c r="B3" s="3" t="str">
        <f t="shared" si="0"/>
        <v>assessment-0.2</v>
      </c>
      <c r="C3" s="3" t="str">
        <f t="shared" si="1"/>
        <v>Anagrafica | Domanda 0.2</v>
      </c>
      <c r="D3" s="4" t="s">
        <v>15</v>
      </c>
      <c r="E3" s="4" t="s">
        <v>19</v>
      </c>
      <c r="F3" s="3" t="s">
        <v>17</v>
      </c>
      <c r="G3" s="4"/>
      <c r="H3" s="4" t="b">
        <v>0</v>
      </c>
      <c r="I3" s="4">
        <v>1</v>
      </c>
      <c r="J3" s="4"/>
      <c r="K3" s="4"/>
      <c r="L3" s="3"/>
      <c r="M3" s="4" t="b">
        <v>0</v>
      </c>
      <c r="N3" s="4"/>
    </row>
    <row r="4" spans="1:14" ht="21" customHeight="1">
      <c r="A4" s="3" t="s">
        <v>20</v>
      </c>
      <c r="B4" s="3" t="str">
        <f t="shared" si="0"/>
        <v>assessment-0.3</v>
      </c>
      <c r="C4" s="3" t="str">
        <f t="shared" si="1"/>
        <v>Anagrafica | Domanda 0.3</v>
      </c>
      <c r="D4" s="4" t="s">
        <v>15</v>
      </c>
      <c r="E4" s="4" t="s">
        <v>21</v>
      </c>
      <c r="F4" s="3" t="s">
        <v>17</v>
      </c>
      <c r="G4" s="4"/>
      <c r="H4" s="4" t="b">
        <v>0</v>
      </c>
      <c r="I4" s="4">
        <v>1</v>
      </c>
      <c r="J4" s="4"/>
      <c r="K4" s="4"/>
      <c r="L4" s="3"/>
      <c r="M4" s="4" t="b">
        <v>0</v>
      </c>
      <c r="N4" s="4"/>
    </row>
    <row r="5" spans="1:14" ht="16">
      <c r="A5" s="3" t="s">
        <v>22</v>
      </c>
      <c r="B5" s="3" t="str">
        <f t="shared" si="0"/>
        <v>assessment-0.4</v>
      </c>
      <c r="C5" s="3" t="str">
        <f t="shared" si="1"/>
        <v>Anagrafica | Domanda 0.4</v>
      </c>
      <c r="D5" s="4" t="s">
        <v>15</v>
      </c>
      <c r="E5" s="4" t="s">
        <v>23</v>
      </c>
      <c r="F5" s="3" t="s">
        <v>17</v>
      </c>
      <c r="G5" s="4"/>
      <c r="H5" s="4" t="b">
        <v>0</v>
      </c>
      <c r="I5" s="4">
        <v>1</v>
      </c>
      <c r="J5" s="4"/>
      <c r="K5" s="4"/>
      <c r="L5" s="3"/>
      <c r="M5" s="4" t="b">
        <v>0</v>
      </c>
      <c r="N5" s="4"/>
    </row>
    <row r="6" spans="1:14" ht="16">
      <c r="A6" s="3" t="s">
        <v>24</v>
      </c>
      <c r="B6" s="3" t="str">
        <f t="shared" si="0"/>
        <v>assessment-0.5</v>
      </c>
      <c r="C6" s="3" t="str">
        <f t="shared" si="1"/>
        <v>Anagrafica | Domanda 0.5</v>
      </c>
      <c r="D6" s="4" t="s">
        <v>15</v>
      </c>
      <c r="E6" s="4" t="s">
        <v>25</v>
      </c>
      <c r="F6" s="3" t="s">
        <v>17</v>
      </c>
      <c r="G6" s="4"/>
      <c r="H6" s="4" t="b">
        <v>0</v>
      </c>
      <c r="I6" s="4">
        <v>1</v>
      </c>
      <c r="J6" s="4"/>
      <c r="K6" s="4"/>
      <c r="L6" s="3"/>
      <c r="M6" s="4" t="b">
        <v>0</v>
      </c>
      <c r="N6" s="4"/>
    </row>
    <row r="7" spans="1:14" ht="16">
      <c r="A7" s="3" t="s">
        <v>26</v>
      </c>
      <c r="B7" s="3" t="str">
        <f t="shared" si="0"/>
        <v>assessment-0.6</v>
      </c>
      <c r="C7" s="3" t="str">
        <f t="shared" si="1"/>
        <v>Anagrafica | Domanda 0.6</v>
      </c>
      <c r="D7" s="4" t="s">
        <v>15</v>
      </c>
      <c r="E7" s="4" t="s">
        <v>27</v>
      </c>
      <c r="F7" s="3" t="s">
        <v>17</v>
      </c>
      <c r="G7" s="4"/>
      <c r="H7" s="4" t="b">
        <v>0</v>
      </c>
      <c r="I7" s="4">
        <v>1</v>
      </c>
      <c r="J7" s="4"/>
      <c r="K7" s="4"/>
      <c r="L7" s="3"/>
      <c r="M7" s="4" t="b">
        <v>0</v>
      </c>
      <c r="N7" s="4"/>
    </row>
    <row r="8" spans="1:14" ht="16">
      <c r="A8" s="3" t="s">
        <v>28</v>
      </c>
      <c r="B8" s="3" t="str">
        <f t="shared" si="0"/>
        <v>assessment-0.7</v>
      </c>
      <c r="C8" s="3" t="str">
        <f t="shared" si="1"/>
        <v>Anagrafica | Domanda 0.7</v>
      </c>
      <c r="D8" s="4" t="s">
        <v>15</v>
      </c>
      <c r="E8" s="4" t="s">
        <v>29</v>
      </c>
      <c r="F8" s="3" t="s">
        <v>17</v>
      </c>
      <c r="G8" s="4"/>
      <c r="H8" s="4" t="b">
        <v>0</v>
      </c>
      <c r="I8" s="4">
        <v>1</v>
      </c>
      <c r="J8" s="4"/>
      <c r="K8" s="4"/>
      <c r="L8" s="3"/>
      <c r="M8" s="4" t="b">
        <v>0</v>
      </c>
      <c r="N8" s="4"/>
    </row>
    <row r="9" spans="1:14" ht="144">
      <c r="A9" s="3" t="s">
        <v>30</v>
      </c>
      <c r="B9" s="3" t="str">
        <f t="shared" si="0"/>
        <v>assessment-1.1</v>
      </c>
      <c r="C9" s="3" t="str">
        <f t="shared" si="1"/>
        <v>I. Impegnarsi | Domanda 1.1</v>
      </c>
      <c r="D9" s="4" t="s">
        <v>31</v>
      </c>
      <c r="E9" s="5" t="s">
        <v>32</v>
      </c>
      <c r="F9" s="3" t="s">
        <v>33</v>
      </c>
      <c r="G9" s="24" t="s">
        <v>34</v>
      </c>
      <c r="H9" s="4" t="b">
        <v>0</v>
      </c>
      <c r="I9" s="4">
        <v>1</v>
      </c>
      <c r="J9" s="4" t="s">
        <v>35</v>
      </c>
      <c r="K9" s="4"/>
      <c r="L9" s="6" t="s">
        <v>36</v>
      </c>
      <c r="M9" s="4" t="b">
        <v>0</v>
      </c>
      <c r="N9" s="2"/>
    </row>
    <row r="10" spans="1:14" ht="144">
      <c r="A10" s="3" t="s">
        <v>37</v>
      </c>
      <c r="B10" s="3" t="str">
        <f t="shared" si="0"/>
        <v>assessment-1.2</v>
      </c>
      <c r="C10" s="3" t="str">
        <f t="shared" si="1"/>
        <v>I. Impegnarsi | Domanda 1.2</v>
      </c>
      <c r="D10" s="4" t="s">
        <v>31</v>
      </c>
      <c r="E10" s="5" t="s">
        <v>38</v>
      </c>
      <c r="F10" s="3" t="s">
        <v>33</v>
      </c>
      <c r="G10" s="25"/>
      <c r="H10" s="4" t="b">
        <v>0</v>
      </c>
      <c r="I10" s="4">
        <v>1</v>
      </c>
      <c r="J10" s="4" t="s">
        <v>39</v>
      </c>
      <c r="K10" s="4" t="s">
        <v>40</v>
      </c>
      <c r="L10" s="7" t="s">
        <v>41</v>
      </c>
      <c r="M10" s="4" t="b">
        <v>0</v>
      </c>
      <c r="N10" s="4"/>
    </row>
    <row r="11" spans="1:14" ht="64">
      <c r="A11" s="3" t="s">
        <v>42</v>
      </c>
      <c r="B11" s="3" t="str">
        <f t="shared" si="0"/>
        <v>assessment-1.3</v>
      </c>
      <c r="C11" s="3" t="str">
        <f t="shared" si="1"/>
        <v>I. Impegnarsi | Domanda 1.3</v>
      </c>
      <c r="D11" s="4" t="s">
        <v>43</v>
      </c>
      <c r="E11" s="5" t="s">
        <v>44</v>
      </c>
      <c r="F11" s="3" t="s">
        <v>33</v>
      </c>
      <c r="G11" s="25"/>
      <c r="H11" s="4" t="b">
        <v>0</v>
      </c>
      <c r="I11" s="4">
        <v>1</v>
      </c>
      <c r="J11" s="4"/>
      <c r="K11" s="4"/>
      <c r="L11" s="6"/>
      <c r="M11" s="4" t="b">
        <v>0</v>
      </c>
      <c r="N11" s="4"/>
    </row>
    <row r="12" spans="1:14" ht="48">
      <c r="A12" s="8" t="s">
        <v>45</v>
      </c>
      <c r="B12" s="3" t="str">
        <f t="shared" si="0"/>
        <v>assessment-1.3.1</v>
      </c>
      <c r="C12" s="3" t="str">
        <f t="shared" si="1"/>
        <v>I. Impegnarsi | Domanda 1.3.1</v>
      </c>
      <c r="D12" s="4" t="s">
        <v>31</v>
      </c>
      <c r="E12" s="5" t="s">
        <v>46</v>
      </c>
      <c r="F12" s="3" t="s">
        <v>33</v>
      </c>
      <c r="G12" s="25"/>
      <c r="H12" s="4" t="b">
        <v>0</v>
      </c>
      <c r="I12" s="4">
        <v>1</v>
      </c>
      <c r="J12" s="4"/>
      <c r="K12" s="4"/>
      <c r="L12" s="6" t="s">
        <v>47</v>
      </c>
      <c r="M12" s="4" t="b">
        <v>0</v>
      </c>
      <c r="N12" s="4" t="s">
        <v>48</v>
      </c>
    </row>
    <row r="13" spans="1:14" ht="32">
      <c r="A13" s="9" t="s">
        <v>50</v>
      </c>
      <c r="B13" s="3" t="str">
        <f t="shared" si="0"/>
        <v>assessment-1.3.2</v>
      </c>
      <c r="C13" s="3" t="str">
        <f t="shared" si="1"/>
        <v>I. Impegnarsi | Domanda 1.3.2</v>
      </c>
      <c r="D13" s="4" t="s">
        <v>31</v>
      </c>
      <c r="E13" s="5" t="s">
        <v>51</v>
      </c>
      <c r="F13" s="3" t="s">
        <v>33</v>
      </c>
      <c r="G13" s="25"/>
      <c r="H13" s="4" t="b">
        <v>0</v>
      </c>
      <c r="I13" s="4">
        <v>1</v>
      </c>
      <c r="J13" s="4"/>
      <c r="K13" s="4"/>
      <c r="L13" s="6" t="s">
        <v>52</v>
      </c>
      <c r="M13" s="4" t="b">
        <v>0</v>
      </c>
      <c r="N13" s="4" t="s">
        <v>48</v>
      </c>
    </row>
    <row r="14" spans="1:14" ht="32">
      <c r="A14" s="9" t="s">
        <v>54</v>
      </c>
      <c r="B14" s="3" t="str">
        <f t="shared" si="0"/>
        <v>assessment-1.3.3</v>
      </c>
      <c r="C14" s="3" t="str">
        <f t="shared" si="1"/>
        <v>I. Impegnarsi | Domanda 1.3.3</v>
      </c>
      <c r="D14" s="4" t="s">
        <v>31</v>
      </c>
      <c r="E14" s="5" t="s">
        <v>55</v>
      </c>
      <c r="F14" s="3" t="s">
        <v>33</v>
      </c>
      <c r="G14" s="25"/>
      <c r="H14" s="4" t="b">
        <v>0</v>
      </c>
      <c r="I14" s="4">
        <v>1</v>
      </c>
      <c r="J14" s="4"/>
      <c r="K14" s="4"/>
      <c r="L14" s="6" t="s">
        <v>56</v>
      </c>
      <c r="M14" s="4" t="b">
        <v>0</v>
      </c>
      <c r="N14" s="4" t="s">
        <v>48</v>
      </c>
    </row>
    <row r="15" spans="1:14" ht="32">
      <c r="A15" s="9" t="s">
        <v>58</v>
      </c>
      <c r="B15" s="3" t="str">
        <f t="shared" si="0"/>
        <v>assessment-1.3.4</v>
      </c>
      <c r="C15" s="3" t="str">
        <f t="shared" si="1"/>
        <v>I. Impegnarsi | Domanda 1.3.4</v>
      </c>
      <c r="D15" s="4" t="s">
        <v>31</v>
      </c>
      <c r="E15" s="5" t="s">
        <v>59</v>
      </c>
      <c r="F15" s="3" t="s">
        <v>33</v>
      </c>
      <c r="G15" s="25"/>
      <c r="H15" s="4" t="b">
        <v>0</v>
      </c>
      <c r="I15" s="4">
        <v>1</v>
      </c>
      <c r="J15" s="4"/>
      <c r="K15" s="4"/>
      <c r="L15" s="6" t="s">
        <v>60</v>
      </c>
      <c r="M15" s="4" t="b">
        <v>0</v>
      </c>
      <c r="N15" s="4" t="s">
        <v>48</v>
      </c>
    </row>
    <row r="16" spans="1:14" ht="32">
      <c r="A16" s="9" t="s">
        <v>61</v>
      </c>
      <c r="B16" s="3" t="str">
        <f t="shared" si="0"/>
        <v>assessment-1.4.1</v>
      </c>
      <c r="C16" s="3" t="str">
        <f t="shared" si="1"/>
        <v>I. Impegnarsi | Domanda 1.4.1</v>
      </c>
      <c r="D16" s="4" t="s">
        <v>31</v>
      </c>
      <c r="E16" s="5" t="s">
        <v>62</v>
      </c>
      <c r="F16" s="3" t="s">
        <v>33</v>
      </c>
      <c r="G16" s="25"/>
      <c r="H16" s="4" t="b">
        <v>0</v>
      </c>
      <c r="I16" s="4">
        <v>1</v>
      </c>
      <c r="J16" s="4"/>
      <c r="K16" s="4"/>
      <c r="L16" s="3"/>
      <c r="M16" s="4" t="b">
        <v>0</v>
      </c>
      <c r="N16" s="4"/>
    </row>
    <row r="17" spans="1:14" ht="32">
      <c r="A17" s="9" t="s">
        <v>64</v>
      </c>
      <c r="B17" s="3" t="str">
        <f t="shared" si="0"/>
        <v>assessment-1.4.2</v>
      </c>
      <c r="C17" s="3" t="str">
        <f t="shared" si="1"/>
        <v>I. Impegnarsi | Domanda 1.4.2</v>
      </c>
      <c r="D17" s="4" t="s">
        <v>31</v>
      </c>
      <c r="E17" s="5" t="s">
        <v>65</v>
      </c>
      <c r="F17" s="3" t="s">
        <v>33</v>
      </c>
      <c r="G17" s="25"/>
      <c r="H17" s="4" t="b">
        <v>0</v>
      </c>
      <c r="I17" s="4">
        <v>1</v>
      </c>
      <c r="J17" s="4"/>
      <c r="K17" s="4"/>
      <c r="L17" s="3"/>
      <c r="M17" s="4" t="b">
        <v>0</v>
      </c>
      <c r="N17" s="4"/>
    </row>
    <row r="18" spans="1:14" ht="80">
      <c r="A18" s="9" t="s">
        <v>67</v>
      </c>
      <c r="B18" s="3" t="str">
        <f t="shared" si="0"/>
        <v>assessment-1.4.3</v>
      </c>
      <c r="C18" s="3" t="str">
        <f t="shared" si="1"/>
        <v>I. Impegnarsi | Domanda 1.4.3</v>
      </c>
      <c r="D18" s="4" t="s">
        <v>31</v>
      </c>
      <c r="E18" s="5" t="s">
        <v>68</v>
      </c>
      <c r="F18" s="3" t="s">
        <v>33</v>
      </c>
      <c r="G18" s="25"/>
      <c r="H18" s="4" t="b">
        <v>0</v>
      </c>
      <c r="I18" s="4">
        <v>1</v>
      </c>
      <c r="J18" s="4"/>
      <c r="K18" s="4"/>
      <c r="L18" s="3"/>
      <c r="M18" s="4" t="b">
        <v>0</v>
      </c>
      <c r="N18" s="4"/>
    </row>
    <row r="19" spans="1:14" ht="32">
      <c r="A19" s="9" t="s">
        <v>69</v>
      </c>
      <c r="B19" s="3" t="str">
        <f t="shared" si="0"/>
        <v>assessment-1.4.4</v>
      </c>
      <c r="C19" s="3" t="str">
        <f t="shared" si="1"/>
        <v>I. Impegnarsi | Domanda 1.4.4</v>
      </c>
      <c r="D19" s="4" t="s">
        <v>31</v>
      </c>
      <c r="E19" s="5" t="s">
        <v>70</v>
      </c>
      <c r="F19" s="3" t="s">
        <v>33</v>
      </c>
      <c r="G19" s="25"/>
      <c r="H19" s="4" t="b">
        <v>0</v>
      </c>
      <c r="I19" s="4">
        <v>1</v>
      </c>
      <c r="J19" s="4"/>
      <c r="K19" s="4"/>
      <c r="L19" s="3"/>
      <c r="M19" s="4" t="b">
        <v>0</v>
      </c>
      <c r="N19" s="4"/>
    </row>
    <row r="20" spans="1:14" ht="48">
      <c r="A20" s="9" t="s">
        <v>71</v>
      </c>
      <c r="B20" s="3" t="str">
        <f t="shared" si="0"/>
        <v>assessment-1.5.1</v>
      </c>
      <c r="C20" s="3" t="str">
        <f t="shared" si="1"/>
        <v>I. Impegnarsi | Domanda 1.5.1</v>
      </c>
      <c r="D20" s="4" t="s">
        <v>31</v>
      </c>
      <c r="E20" s="5" t="s">
        <v>72</v>
      </c>
      <c r="F20" s="3" t="s">
        <v>33</v>
      </c>
      <c r="G20" s="25"/>
      <c r="H20" s="4" t="b">
        <v>0</v>
      </c>
      <c r="I20" s="4">
        <v>1</v>
      </c>
      <c r="J20" s="4"/>
      <c r="K20" s="4"/>
      <c r="L20" s="3"/>
      <c r="M20" s="4" t="b">
        <v>0</v>
      </c>
      <c r="N20" s="4"/>
    </row>
    <row r="21" spans="1:14" ht="128">
      <c r="A21" s="9" t="s">
        <v>74</v>
      </c>
      <c r="B21" s="3" t="str">
        <f t="shared" si="0"/>
        <v>assessment-1.5.2</v>
      </c>
      <c r="C21" s="3" t="str">
        <f t="shared" si="1"/>
        <v>I. Impegnarsi | Domanda 1.5.2</v>
      </c>
      <c r="D21" s="4" t="s">
        <v>31</v>
      </c>
      <c r="E21" s="5" t="s">
        <v>75</v>
      </c>
      <c r="F21" s="3" t="s">
        <v>33</v>
      </c>
      <c r="G21" s="25"/>
      <c r="H21" s="4" t="b">
        <v>0</v>
      </c>
      <c r="I21" s="4">
        <v>1</v>
      </c>
      <c r="J21" s="4"/>
      <c r="K21" s="4" t="s">
        <v>76</v>
      </c>
      <c r="L21" s="3"/>
      <c r="M21" s="4" t="b">
        <v>0</v>
      </c>
      <c r="N21" s="4"/>
    </row>
    <row r="22" spans="1:14" ht="48">
      <c r="A22" s="9" t="s">
        <v>78</v>
      </c>
      <c r="B22" s="3" t="str">
        <f t="shared" si="0"/>
        <v>assessment-1.6.1</v>
      </c>
      <c r="C22" s="3" t="str">
        <f t="shared" si="1"/>
        <v>I. Impegnarsi | Domanda 1.6.1</v>
      </c>
      <c r="D22" s="4" t="s">
        <v>31</v>
      </c>
      <c r="E22" s="5" t="s">
        <v>79</v>
      </c>
      <c r="F22" s="3" t="s">
        <v>33</v>
      </c>
      <c r="G22" s="25"/>
      <c r="H22" s="4" t="b">
        <v>0</v>
      </c>
      <c r="I22" s="4">
        <v>1</v>
      </c>
      <c r="J22" s="4"/>
      <c r="K22" s="4"/>
      <c r="L22" s="6" t="s">
        <v>80</v>
      </c>
      <c r="M22" s="4" t="b">
        <v>0</v>
      </c>
      <c r="N22" s="4"/>
    </row>
    <row r="23" spans="1:14" ht="32">
      <c r="A23" s="9" t="s">
        <v>82</v>
      </c>
      <c r="B23" s="3" t="str">
        <f t="shared" si="0"/>
        <v>assessment-1.6.2</v>
      </c>
      <c r="C23" s="3" t="str">
        <f t="shared" si="1"/>
        <v>I. Impegnarsi | Domanda 1.6.2</v>
      </c>
      <c r="D23" s="4" t="s">
        <v>31</v>
      </c>
      <c r="E23" s="5" t="s">
        <v>83</v>
      </c>
      <c r="F23" s="3" t="s">
        <v>33</v>
      </c>
      <c r="G23" s="25"/>
      <c r="H23" s="4" t="b">
        <v>0</v>
      </c>
      <c r="I23" s="4">
        <v>1</v>
      </c>
      <c r="J23" s="4"/>
      <c r="K23" s="4"/>
      <c r="L23" s="3"/>
      <c r="M23" s="4" t="b">
        <v>0</v>
      </c>
      <c r="N23" s="4"/>
    </row>
    <row r="24" spans="1:14" ht="32">
      <c r="A24" s="9" t="s">
        <v>85</v>
      </c>
      <c r="B24" s="3" t="str">
        <f t="shared" si="0"/>
        <v>assessment-1.6.3</v>
      </c>
      <c r="C24" s="3" t="str">
        <f t="shared" si="1"/>
        <v>I. Impegnarsi | Domanda 1.6.3</v>
      </c>
      <c r="D24" s="4" t="s">
        <v>31</v>
      </c>
      <c r="E24" s="5" t="s">
        <v>86</v>
      </c>
      <c r="F24" s="3" t="s">
        <v>33</v>
      </c>
      <c r="G24" s="26"/>
      <c r="H24" s="4" t="b">
        <v>0</v>
      </c>
      <c r="I24" s="4">
        <v>1</v>
      </c>
      <c r="J24" s="4"/>
      <c r="K24" s="4"/>
      <c r="L24" s="3"/>
      <c r="M24" s="4" t="b">
        <v>0</v>
      </c>
      <c r="N24" s="4"/>
    </row>
    <row r="25" spans="1:14" ht="32">
      <c r="A25" s="9" t="s">
        <v>88</v>
      </c>
      <c r="B25" s="3" t="str">
        <f t="shared" si="0"/>
        <v>assessment-1.6.4</v>
      </c>
      <c r="C25" s="3" t="str">
        <f t="shared" si="1"/>
        <v>I. Impegnarsi | Domanda 1.6.4</v>
      </c>
      <c r="D25" s="4" t="s">
        <v>31</v>
      </c>
      <c r="E25" s="5" t="s">
        <v>89</v>
      </c>
      <c r="F25" s="3" t="s">
        <v>33</v>
      </c>
      <c r="G25" s="4"/>
      <c r="H25" s="4" t="b">
        <v>0</v>
      </c>
      <c r="I25" s="4">
        <v>1</v>
      </c>
      <c r="J25" s="4"/>
      <c r="K25" s="4"/>
      <c r="L25" s="3"/>
      <c r="M25" s="4" t="b">
        <v>0</v>
      </c>
      <c r="N25" s="4"/>
    </row>
    <row r="26" spans="1:14" ht="64">
      <c r="A26" s="10" t="s">
        <v>91</v>
      </c>
      <c r="B26" s="3" t="str">
        <f t="shared" si="0"/>
        <v>assessment-1.6.5</v>
      </c>
      <c r="C26" s="3" t="str">
        <f t="shared" si="1"/>
        <v>I. Impegnarsi | Domanda 1.6.5</v>
      </c>
      <c r="D26" s="4" t="s">
        <v>31</v>
      </c>
      <c r="E26" s="5" t="s">
        <v>92</v>
      </c>
      <c r="F26" s="3" t="s">
        <v>33</v>
      </c>
      <c r="G26" s="11"/>
      <c r="H26" s="4" t="b">
        <v>0</v>
      </c>
      <c r="I26" s="4">
        <v>1</v>
      </c>
      <c r="J26" s="12"/>
      <c r="K26" s="11"/>
      <c r="L26" s="11"/>
      <c r="M26" s="4" t="b">
        <v>0</v>
      </c>
      <c r="N26" s="11"/>
    </row>
    <row r="27" spans="1:14" ht="32">
      <c r="A27" s="9" t="s">
        <v>94</v>
      </c>
      <c r="B27" s="3" t="str">
        <f t="shared" si="0"/>
        <v>assessment-2.1</v>
      </c>
      <c r="C27" s="3" t="str">
        <f t="shared" si="1"/>
        <v>II. Valutare | Domanda 2.1</v>
      </c>
      <c r="D27" s="4" t="s">
        <v>31</v>
      </c>
      <c r="E27" s="5" t="s">
        <v>95</v>
      </c>
      <c r="F27" s="3" t="s">
        <v>96</v>
      </c>
      <c r="G27" s="24" t="s">
        <v>97</v>
      </c>
      <c r="H27" s="4" t="b">
        <v>0</v>
      </c>
      <c r="I27" s="4">
        <v>1</v>
      </c>
      <c r="J27" s="4"/>
      <c r="K27" s="4"/>
      <c r="L27" s="3"/>
      <c r="M27" s="4" t="b">
        <v>0</v>
      </c>
      <c r="N27" s="2"/>
    </row>
    <row r="28" spans="1:14" ht="48">
      <c r="A28" s="9" t="s">
        <v>98</v>
      </c>
      <c r="B28" s="3" t="str">
        <f t="shared" si="0"/>
        <v>assessment-2.1.2</v>
      </c>
      <c r="C28" s="3" t="str">
        <f t="shared" si="1"/>
        <v>II. Valutare | Domanda 2.1.2</v>
      </c>
      <c r="D28" s="4" t="s">
        <v>31</v>
      </c>
      <c r="E28" s="5" t="s">
        <v>99</v>
      </c>
      <c r="F28" s="3" t="s">
        <v>96</v>
      </c>
      <c r="G28" s="25"/>
      <c r="H28" s="4" t="b">
        <v>0</v>
      </c>
      <c r="I28" s="4">
        <v>1</v>
      </c>
      <c r="J28" s="4"/>
      <c r="K28" s="4"/>
      <c r="L28" s="3"/>
      <c r="M28" s="4" t="b">
        <v>0</v>
      </c>
      <c r="N28" s="4"/>
    </row>
    <row r="29" spans="1:14" ht="160">
      <c r="A29" s="9" t="s">
        <v>100</v>
      </c>
      <c r="B29" s="3" t="str">
        <f t="shared" si="0"/>
        <v>assessment-2.1.3</v>
      </c>
      <c r="C29" s="3" t="str">
        <f t="shared" si="1"/>
        <v>II. Valutare | Domanda 2.1.3</v>
      </c>
      <c r="D29" s="4" t="s">
        <v>31</v>
      </c>
      <c r="E29" s="5" t="s">
        <v>101</v>
      </c>
      <c r="F29" s="3" t="s">
        <v>96</v>
      </c>
      <c r="G29" s="25"/>
      <c r="H29" s="4" t="b">
        <v>0</v>
      </c>
      <c r="I29" s="4">
        <v>1</v>
      </c>
      <c r="J29" s="4" t="s">
        <v>102</v>
      </c>
      <c r="K29" s="4"/>
      <c r="L29" s="3"/>
      <c r="M29" s="4" t="b">
        <v>0</v>
      </c>
      <c r="N29" s="4"/>
    </row>
    <row r="30" spans="1:14" ht="96">
      <c r="A30" s="9" t="s">
        <v>103</v>
      </c>
      <c r="B30" s="3" t="str">
        <f t="shared" si="0"/>
        <v>assessment-2.2.1</v>
      </c>
      <c r="C30" s="3" t="str">
        <f t="shared" si="1"/>
        <v>II. Valutare | Domanda 2.2.1</v>
      </c>
      <c r="D30" s="4" t="s">
        <v>31</v>
      </c>
      <c r="E30" s="5" t="s">
        <v>104</v>
      </c>
      <c r="F30" s="3" t="s">
        <v>96</v>
      </c>
      <c r="G30" s="25"/>
      <c r="H30" s="4" t="b">
        <v>0</v>
      </c>
      <c r="I30" s="4">
        <v>1</v>
      </c>
      <c r="J30" s="4" t="s">
        <v>105</v>
      </c>
      <c r="K30" s="4" t="s">
        <v>106</v>
      </c>
      <c r="L30" s="6" t="s">
        <v>107</v>
      </c>
      <c r="M30" s="4" t="b">
        <v>0</v>
      </c>
      <c r="N30" s="4"/>
    </row>
    <row r="31" spans="1:14" ht="48">
      <c r="A31" s="9" t="s">
        <v>108</v>
      </c>
      <c r="B31" s="3" t="str">
        <f t="shared" si="0"/>
        <v>assessment-2.2.2</v>
      </c>
      <c r="C31" s="3" t="str">
        <f t="shared" si="1"/>
        <v>II. Valutare | Domanda 2.2.2</v>
      </c>
      <c r="D31" s="4" t="s">
        <v>31</v>
      </c>
      <c r="E31" s="5" t="s">
        <v>109</v>
      </c>
      <c r="F31" s="3" t="s">
        <v>96</v>
      </c>
      <c r="G31" s="25"/>
      <c r="H31" s="4" t="b">
        <v>0</v>
      </c>
      <c r="I31" s="4">
        <v>1</v>
      </c>
      <c r="J31" s="4"/>
      <c r="K31" s="4"/>
      <c r="L31" s="3"/>
      <c r="M31" s="4" t="b">
        <v>0</v>
      </c>
      <c r="N31" s="2"/>
    </row>
    <row r="32" spans="1:14" ht="48">
      <c r="A32" s="9" t="s">
        <v>110</v>
      </c>
      <c r="B32" s="3" t="str">
        <f t="shared" si="0"/>
        <v>assessment-2.2.3</v>
      </c>
      <c r="C32" s="3" t="str">
        <f t="shared" si="1"/>
        <v>II. Valutare | Domanda 2.2.3</v>
      </c>
      <c r="D32" s="4" t="s">
        <v>31</v>
      </c>
      <c r="E32" s="5" t="s">
        <v>111</v>
      </c>
      <c r="F32" s="3" t="s">
        <v>96</v>
      </c>
      <c r="G32" s="25"/>
      <c r="H32" s="4" t="b">
        <v>0</v>
      </c>
      <c r="I32" s="4">
        <v>1</v>
      </c>
      <c r="J32" s="4"/>
      <c r="K32" s="4"/>
      <c r="L32" s="3"/>
      <c r="M32" s="4" t="b">
        <v>0</v>
      </c>
      <c r="N32" s="4"/>
    </row>
    <row r="33" spans="1:14" ht="272">
      <c r="A33" s="9" t="s">
        <v>112</v>
      </c>
      <c r="B33" s="3" t="str">
        <f t="shared" si="0"/>
        <v>assessment-2.2.4.1</v>
      </c>
      <c r="C33" s="3" t="str">
        <f t="shared" si="1"/>
        <v>II. Valutare | Domanda 2.2.4.1</v>
      </c>
      <c r="D33" s="4" t="s">
        <v>31</v>
      </c>
      <c r="E33" s="5" t="s">
        <v>113</v>
      </c>
      <c r="F33" s="3" t="s">
        <v>96</v>
      </c>
      <c r="G33" s="25"/>
      <c r="H33" s="4" t="b">
        <v>0</v>
      </c>
      <c r="I33" s="4">
        <v>1</v>
      </c>
      <c r="J33" s="4" t="s">
        <v>114</v>
      </c>
      <c r="K33" s="4"/>
      <c r="L33" s="3"/>
      <c r="M33" s="4" t="b">
        <v>0</v>
      </c>
      <c r="N33" s="4"/>
    </row>
    <row r="34" spans="1:14" ht="89.25" customHeight="1">
      <c r="A34" s="9" t="s">
        <v>115</v>
      </c>
      <c r="B34" s="3" t="str">
        <f t="shared" si="0"/>
        <v>assessment-2.2.4.2</v>
      </c>
      <c r="C34" s="3" t="str">
        <f t="shared" si="1"/>
        <v>II. Valutare | Domanda 2.2.4.2</v>
      </c>
      <c r="D34" s="4" t="s">
        <v>31</v>
      </c>
      <c r="E34" s="5" t="s">
        <v>116</v>
      </c>
      <c r="F34" s="3" t="s">
        <v>96</v>
      </c>
      <c r="G34" s="25"/>
      <c r="H34" s="4" t="b">
        <v>0</v>
      </c>
      <c r="I34" s="4">
        <v>1</v>
      </c>
      <c r="J34" s="4"/>
      <c r="K34" s="4"/>
      <c r="L34" s="3"/>
      <c r="M34" s="4" t="b">
        <v>0</v>
      </c>
      <c r="N34" s="4"/>
    </row>
    <row r="35" spans="1:14" ht="48">
      <c r="A35" s="9" t="s">
        <v>117</v>
      </c>
      <c r="B35" s="3" t="str">
        <f t="shared" si="0"/>
        <v>assessment-2.2.5</v>
      </c>
      <c r="C35" s="3" t="str">
        <f t="shared" si="1"/>
        <v>II. Valutare | Domanda 2.2.5</v>
      </c>
      <c r="D35" s="4" t="s">
        <v>31</v>
      </c>
      <c r="E35" s="5" t="s">
        <v>118</v>
      </c>
      <c r="F35" s="3" t="s">
        <v>96</v>
      </c>
      <c r="G35" s="25"/>
      <c r="H35" s="4" t="b">
        <v>0</v>
      </c>
      <c r="I35" s="4">
        <v>1</v>
      </c>
      <c r="J35" s="4"/>
      <c r="K35" s="4"/>
      <c r="L35" s="3"/>
      <c r="M35" s="4" t="b">
        <v>0</v>
      </c>
      <c r="N35" s="4"/>
    </row>
    <row r="36" spans="1:14" ht="48">
      <c r="A36" s="9" t="s">
        <v>119</v>
      </c>
      <c r="B36" s="3" t="str">
        <f t="shared" si="0"/>
        <v>assessment-2.2.6</v>
      </c>
      <c r="C36" s="3" t="str">
        <f t="shared" si="1"/>
        <v>II. Valutare | Domanda 2.2.6</v>
      </c>
      <c r="D36" s="4" t="s">
        <v>31</v>
      </c>
      <c r="E36" s="5" t="s">
        <v>120</v>
      </c>
      <c r="F36" s="3" t="s">
        <v>96</v>
      </c>
      <c r="G36" s="25"/>
      <c r="H36" s="4" t="b">
        <v>0</v>
      </c>
      <c r="I36" s="4">
        <v>1</v>
      </c>
      <c r="J36" s="4"/>
      <c r="K36" s="4"/>
      <c r="L36" s="3"/>
      <c r="M36" s="4" t="b">
        <v>0</v>
      </c>
      <c r="N36" s="4"/>
    </row>
    <row r="37" spans="1:14" ht="64">
      <c r="A37" s="9" t="s">
        <v>121</v>
      </c>
      <c r="B37" s="3" t="str">
        <f t="shared" si="0"/>
        <v>assessment-2.2.7</v>
      </c>
      <c r="C37" s="3" t="str">
        <f t="shared" si="1"/>
        <v>II. Valutare | Domanda 2.2.7</v>
      </c>
      <c r="D37" s="4" t="s">
        <v>31</v>
      </c>
      <c r="E37" s="5" t="s">
        <v>122</v>
      </c>
      <c r="F37" s="3" t="s">
        <v>96</v>
      </c>
      <c r="G37" s="25"/>
      <c r="H37" s="4" t="b">
        <v>0</v>
      </c>
      <c r="I37" s="4">
        <v>1</v>
      </c>
      <c r="J37" s="4"/>
      <c r="K37" s="4"/>
      <c r="L37" s="3"/>
      <c r="M37" s="4" t="b">
        <v>0</v>
      </c>
      <c r="N37" s="4"/>
    </row>
    <row r="38" spans="1:14" ht="240">
      <c r="A38" s="9" t="s">
        <v>123</v>
      </c>
      <c r="B38" s="3" t="str">
        <f t="shared" si="0"/>
        <v>assessment-2.2.8</v>
      </c>
      <c r="C38" s="3" t="str">
        <f t="shared" si="1"/>
        <v>II. Valutare | Domanda 2.2.8</v>
      </c>
      <c r="D38" s="4" t="s">
        <v>31</v>
      </c>
      <c r="E38" s="5" t="s">
        <v>124</v>
      </c>
      <c r="F38" s="3" t="s">
        <v>96</v>
      </c>
      <c r="G38" s="25"/>
      <c r="H38" s="4" t="b">
        <v>0</v>
      </c>
      <c r="I38" s="4">
        <v>1</v>
      </c>
      <c r="J38" s="4" t="s">
        <v>125</v>
      </c>
      <c r="K38" s="4"/>
      <c r="L38" s="3"/>
      <c r="M38" s="4" t="b">
        <v>0</v>
      </c>
      <c r="N38" s="4"/>
    </row>
    <row r="39" spans="1:14" ht="96">
      <c r="A39" s="9" t="s">
        <v>126</v>
      </c>
      <c r="B39" s="3" t="str">
        <f t="shared" si="0"/>
        <v>assessment-2.2.9</v>
      </c>
      <c r="C39" s="3" t="str">
        <f t="shared" si="1"/>
        <v>II. Valutare | Domanda 2.2.9</v>
      </c>
      <c r="D39" s="4" t="s">
        <v>31</v>
      </c>
      <c r="E39" s="5" t="s">
        <v>127</v>
      </c>
      <c r="F39" s="3" t="s">
        <v>96</v>
      </c>
      <c r="G39" s="26"/>
      <c r="H39" s="4" t="b">
        <v>0</v>
      </c>
      <c r="I39" s="4">
        <v>1</v>
      </c>
      <c r="J39" s="4"/>
      <c r="K39" s="4"/>
      <c r="L39" s="3"/>
      <c r="M39" s="4" t="b">
        <v>0</v>
      </c>
      <c r="N39" s="4"/>
    </row>
    <row r="40" spans="1:14" ht="48">
      <c r="A40" s="9" t="s">
        <v>49</v>
      </c>
      <c r="B40" s="3" t="str">
        <f t="shared" si="0"/>
        <v>assessment-3.1</v>
      </c>
      <c r="C40" s="3" t="str">
        <f t="shared" si="1"/>
        <v>III. Agire | Domanda 3.1</v>
      </c>
      <c r="D40" s="4" t="s">
        <v>31</v>
      </c>
      <c r="E40" s="5" t="s">
        <v>128</v>
      </c>
      <c r="F40" s="3" t="s">
        <v>129</v>
      </c>
      <c r="G40" s="24" t="s">
        <v>130</v>
      </c>
      <c r="H40" s="4" t="b">
        <v>0</v>
      </c>
      <c r="I40" s="4">
        <v>1</v>
      </c>
      <c r="J40" s="4"/>
      <c r="K40" s="4"/>
      <c r="L40" s="3"/>
      <c r="M40" s="4" t="b">
        <v>0</v>
      </c>
      <c r="N40" s="13"/>
    </row>
    <row r="41" spans="1:14" ht="48">
      <c r="A41" s="9" t="s">
        <v>53</v>
      </c>
      <c r="B41" s="3" t="str">
        <f t="shared" si="0"/>
        <v>assessment-3.2</v>
      </c>
      <c r="C41" s="3" t="str">
        <f t="shared" si="1"/>
        <v>III. Agire | Domanda 3.2</v>
      </c>
      <c r="D41" s="4" t="s">
        <v>31</v>
      </c>
      <c r="E41" s="5" t="s">
        <v>131</v>
      </c>
      <c r="F41" s="3" t="s">
        <v>129</v>
      </c>
      <c r="G41" s="25"/>
      <c r="H41" s="4" t="b">
        <v>0</v>
      </c>
      <c r="I41" s="4">
        <v>1</v>
      </c>
      <c r="J41" s="4"/>
      <c r="K41" s="4"/>
      <c r="L41" s="3"/>
      <c r="M41" s="4" t="b">
        <v>0</v>
      </c>
      <c r="N41" s="4"/>
    </row>
    <row r="42" spans="1:14" ht="48">
      <c r="A42" s="9" t="s">
        <v>57</v>
      </c>
      <c r="B42" s="3" t="str">
        <f t="shared" si="0"/>
        <v>assessment-3.3</v>
      </c>
      <c r="C42" s="3" t="str">
        <f t="shared" si="1"/>
        <v>III. Agire | Domanda 3.3</v>
      </c>
      <c r="D42" s="4" t="s">
        <v>31</v>
      </c>
      <c r="E42" s="5" t="s">
        <v>132</v>
      </c>
      <c r="F42" s="3" t="s">
        <v>129</v>
      </c>
      <c r="G42" s="25"/>
      <c r="H42" s="4" t="b">
        <v>0</v>
      </c>
      <c r="I42" s="4">
        <v>1</v>
      </c>
      <c r="J42" s="4"/>
      <c r="K42" s="4"/>
      <c r="L42" s="3"/>
      <c r="M42" s="4" t="b">
        <v>0</v>
      </c>
      <c r="N42" s="4"/>
    </row>
    <row r="43" spans="1:14" ht="224">
      <c r="A43" s="9" t="s">
        <v>133</v>
      </c>
      <c r="B43" s="3" t="str">
        <f t="shared" si="0"/>
        <v>assessment-3.4.1</v>
      </c>
      <c r="C43" s="3" t="str">
        <f t="shared" si="1"/>
        <v>III. Agire | Domanda 3.4.1</v>
      </c>
      <c r="D43" s="4" t="s">
        <v>31</v>
      </c>
      <c r="E43" s="5" t="s">
        <v>134</v>
      </c>
      <c r="F43" s="3" t="s">
        <v>129</v>
      </c>
      <c r="G43" s="25"/>
      <c r="H43" s="4" t="b">
        <v>0</v>
      </c>
      <c r="I43" s="4">
        <v>1</v>
      </c>
      <c r="J43" s="4"/>
      <c r="K43" s="4"/>
      <c r="L43" s="3"/>
      <c r="M43" s="4" t="b">
        <v>0</v>
      </c>
      <c r="N43" s="4"/>
    </row>
    <row r="44" spans="1:14" ht="64">
      <c r="A44" s="9" t="s">
        <v>135</v>
      </c>
      <c r="B44" s="3" t="str">
        <f t="shared" si="0"/>
        <v>assessment-3.4.2</v>
      </c>
      <c r="C44" s="3" t="str">
        <f t="shared" si="1"/>
        <v>III. Agire | Domanda 3.4.2</v>
      </c>
      <c r="D44" s="4" t="s">
        <v>31</v>
      </c>
      <c r="E44" s="5" t="s">
        <v>136</v>
      </c>
      <c r="F44" s="3" t="s">
        <v>129</v>
      </c>
      <c r="G44" s="25"/>
      <c r="H44" s="4" t="b">
        <v>0</v>
      </c>
      <c r="I44" s="4">
        <v>1</v>
      </c>
      <c r="J44" s="4"/>
      <c r="K44" s="4"/>
      <c r="L44" s="3"/>
      <c r="M44" s="4" t="b">
        <v>0</v>
      </c>
      <c r="N44" s="4"/>
    </row>
    <row r="45" spans="1:14" ht="48">
      <c r="A45" s="9" t="s">
        <v>137</v>
      </c>
      <c r="B45" s="3" t="str">
        <f t="shared" si="0"/>
        <v>assessment-3.4.3</v>
      </c>
      <c r="C45" s="3" t="str">
        <f t="shared" si="1"/>
        <v>III. Agire | Domanda 3.4.3</v>
      </c>
      <c r="D45" s="4" t="s">
        <v>31</v>
      </c>
      <c r="E45" s="5" t="s">
        <v>138</v>
      </c>
      <c r="F45" s="3" t="s">
        <v>129</v>
      </c>
      <c r="G45" s="25"/>
      <c r="H45" s="4" t="b">
        <v>0</v>
      </c>
      <c r="I45" s="4">
        <v>1</v>
      </c>
      <c r="J45" s="4"/>
      <c r="K45" s="4"/>
      <c r="L45" s="3"/>
      <c r="M45" s="4" t="b">
        <v>0</v>
      </c>
      <c r="N45" s="4"/>
    </row>
    <row r="46" spans="1:14" ht="48">
      <c r="A46" s="9" t="s">
        <v>139</v>
      </c>
      <c r="B46" s="3" t="str">
        <f t="shared" si="0"/>
        <v>assessment-3.4.4</v>
      </c>
      <c r="C46" s="3" t="str">
        <f t="shared" si="1"/>
        <v>III. Agire | Domanda 3.4.4</v>
      </c>
      <c r="D46" s="4" t="s">
        <v>31</v>
      </c>
      <c r="E46" s="5" t="s">
        <v>140</v>
      </c>
      <c r="F46" s="3" t="s">
        <v>129</v>
      </c>
      <c r="G46" s="25"/>
      <c r="H46" s="4" t="b">
        <v>0</v>
      </c>
      <c r="I46" s="4">
        <v>1</v>
      </c>
      <c r="J46" s="4"/>
      <c r="K46" s="4"/>
      <c r="L46" s="3"/>
      <c r="M46" s="4" t="b">
        <v>0</v>
      </c>
      <c r="N46" s="4"/>
    </row>
    <row r="47" spans="1:14" ht="48">
      <c r="A47" s="9" t="s">
        <v>141</v>
      </c>
      <c r="B47" s="3" t="str">
        <f t="shared" si="0"/>
        <v>assessment-3.4.5</v>
      </c>
      <c r="C47" s="3" t="str">
        <f t="shared" si="1"/>
        <v>III. Agire | Domanda 3.4.5</v>
      </c>
      <c r="D47" s="4" t="s">
        <v>31</v>
      </c>
      <c r="E47" s="5" t="s">
        <v>142</v>
      </c>
      <c r="F47" s="3" t="s">
        <v>129</v>
      </c>
      <c r="G47" s="25"/>
      <c r="H47" s="4" t="b">
        <v>0</v>
      </c>
      <c r="I47" s="4">
        <v>1</v>
      </c>
      <c r="J47" s="4"/>
      <c r="K47" s="4"/>
      <c r="L47" s="3"/>
      <c r="M47" s="4" t="b">
        <v>0</v>
      </c>
      <c r="N47" s="4"/>
    </row>
    <row r="48" spans="1:14" ht="112">
      <c r="A48" s="14" t="s">
        <v>143</v>
      </c>
      <c r="B48" s="3" t="str">
        <f t="shared" si="0"/>
        <v>assessment-3.5.1</v>
      </c>
      <c r="C48" s="3" t="str">
        <f t="shared" si="1"/>
        <v>III. Agire | Domanda 3.5.1</v>
      </c>
      <c r="D48" s="15" t="s">
        <v>31</v>
      </c>
      <c r="E48" s="5" t="s">
        <v>144</v>
      </c>
      <c r="F48" s="3" t="s">
        <v>129</v>
      </c>
      <c r="G48" s="25"/>
      <c r="H48" s="15" t="b">
        <v>0</v>
      </c>
      <c r="I48" s="16">
        <v>1</v>
      </c>
      <c r="J48" s="15"/>
      <c r="K48" s="15"/>
      <c r="L48" s="17"/>
      <c r="M48" s="15" t="b">
        <v>1</v>
      </c>
      <c r="N48" s="15"/>
    </row>
    <row r="49" spans="1:14" ht="96">
      <c r="A49" s="9" t="s">
        <v>145</v>
      </c>
      <c r="B49" s="3" t="str">
        <f t="shared" si="0"/>
        <v>assessment-3.5.2</v>
      </c>
      <c r="C49" s="3" t="str">
        <f t="shared" si="1"/>
        <v>III. Agire | Domanda 3.5.2</v>
      </c>
      <c r="D49" s="4" t="s">
        <v>31</v>
      </c>
      <c r="E49" s="5" t="s">
        <v>146</v>
      </c>
      <c r="F49" s="3" t="s">
        <v>129</v>
      </c>
      <c r="G49" s="25"/>
      <c r="H49" s="4" t="b">
        <v>0</v>
      </c>
      <c r="I49" s="4">
        <v>1</v>
      </c>
      <c r="J49" s="4" t="s">
        <v>147</v>
      </c>
      <c r="K49" s="4"/>
      <c r="L49" s="3"/>
      <c r="M49" s="4" t="b">
        <v>0</v>
      </c>
      <c r="N49" s="4"/>
    </row>
    <row r="50" spans="1:14" ht="32">
      <c r="A50" s="9" t="s">
        <v>148</v>
      </c>
      <c r="B50" s="3" t="str">
        <f t="shared" si="0"/>
        <v>assessment-3.6.1</v>
      </c>
      <c r="C50" s="3" t="str">
        <f t="shared" si="1"/>
        <v>III. Agire | Domanda 3.6.1</v>
      </c>
      <c r="D50" s="4" t="s">
        <v>31</v>
      </c>
      <c r="E50" s="5" t="s">
        <v>149</v>
      </c>
      <c r="F50" s="3" t="s">
        <v>129</v>
      </c>
      <c r="G50" s="25"/>
      <c r="H50" s="4" t="b">
        <v>0</v>
      </c>
      <c r="I50" s="4">
        <v>1</v>
      </c>
      <c r="J50" s="4"/>
      <c r="K50" s="4"/>
      <c r="L50" s="3"/>
      <c r="M50" s="4" t="b">
        <v>0</v>
      </c>
      <c r="N50" s="4"/>
    </row>
    <row r="51" spans="1:14" ht="409.6">
      <c r="A51" s="9" t="s">
        <v>150</v>
      </c>
      <c r="B51" s="3" t="str">
        <f t="shared" si="0"/>
        <v>assessment-3.6.2</v>
      </c>
      <c r="C51" s="3" t="str">
        <f t="shared" si="1"/>
        <v>III. Agire | Domanda 3.6.2</v>
      </c>
      <c r="D51" s="4" t="s">
        <v>31</v>
      </c>
      <c r="E51" s="5" t="s">
        <v>151</v>
      </c>
      <c r="F51" s="3" t="s">
        <v>129</v>
      </c>
      <c r="G51" s="25"/>
      <c r="H51" s="4" t="b">
        <v>0</v>
      </c>
      <c r="I51" s="4">
        <v>1</v>
      </c>
      <c r="J51" s="4" t="s">
        <v>152</v>
      </c>
      <c r="K51" s="4"/>
      <c r="L51" s="3"/>
      <c r="M51" s="4" t="b">
        <v>0</v>
      </c>
      <c r="N51" s="2"/>
    </row>
    <row r="52" spans="1:14" ht="80">
      <c r="A52" s="9" t="s">
        <v>153</v>
      </c>
      <c r="B52" s="3" t="str">
        <f t="shared" si="0"/>
        <v>assessment-3.6.3</v>
      </c>
      <c r="C52" s="3" t="str">
        <f t="shared" si="1"/>
        <v>III. Agire | Domanda 3.6.3</v>
      </c>
      <c r="D52" s="4" t="s">
        <v>31</v>
      </c>
      <c r="E52" s="5" t="s">
        <v>154</v>
      </c>
      <c r="F52" s="3" t="s">
        <v>129</v>
      </c>
      <c r="G52" s="25"/>
      <c r="H52" s="4" t="b">
        <v>0</v>
      </c>
      <c r="I52" s="4">
        <v>1</v>
      </c>
      <c r="J52" s="4"/>
      <c r="K52" s="4"/>
      <c r="L52" s="3"/>
      <c r="M52" s="4" t="b">
        <v>0</v>
      </c>
      <c r="N52" s="4"/>
    </row>
    <row r="53" spans="1:14" ht="48">
      <c r="A53" s="9" t="s">
        <v>155</v>
      </c>
      <c r="B53" s="3" t="str">
        <f t="shared" si="0"/>
        <v>assessment-3.6.4</v>
      </c>
      <c r="C53" s="3" t="str">
        <f t="shared" si="1"/>
        <v>III. Agire | Domanda 3.6.4</v>
      </c>
      <c r="D53" s="4" t="s">
        <v>31</v>
      </c>
      <c r="E53" s="5" t="s">
        <v>156</v>
      </c>
      <c r="F53" s="3" t="s">
        <v>129</v>
      </c>
      <c r="G53" s="25"/>
      <c r="H53" s="4" t="b">
        <v>0</v>
      </c>
      <c r="I53" s="4">
        <v>1</v>
      </c>
      <c r="J53" s="4"/>
      <c r="K53" s="4"/>
      <c r="L53" s="3"/>
      <c r="M53" s="4" t="b">
        <v>0</v>
      </c>
      <c r="N53" s="4"/>
    </row>
    <row r="54" spans="1:14" ht="48">
      <c r="A54" s="9" t="s">
        <v>157</v>
      </c>
      <c r="B54" s="3" t="str">
        <f t="shared" si="0"/>
        <v>assessment-3.6.5</v>
      </c>
      <c r="C54" s="3" t="str">
        <f t="shared" si="1"/>
        <v>III. Agire | Domanda 3.6.5</v>
      </c>
      <c r="D54" s="4" t="s">
        <v>31</v>
      </c>
      <c r="E54" s="5" t="s">
        <v>158</v>
      </c>
      <c r="F54" s="3" t="s">
        <v>129</v>
      </c>
      <c r="G54" s="25"/>
      <c r="H54" s="4" t="b">
        <v>0</v>
      </c>
      <c r="I54" s="4">
        <v>1</v>
      </c>
      <c r="J54" s="4"/>
      <c r="K54" s="4"/>
      <c r="L54" s="3"/>
      <c r="M54" s="4" t="b">
        <v>0</v>
      </c>
      <c r="N54" s="4"/>
    </row>
    <row r="55" spans="1:14" ht="48">
      <c r="A55" s="9" t="s">
        <v>159</v>
      </c>
      <c r="B55" s="3" t="str">
        <f t="shared" si="0"/>
        <v>assessment-3.6.6</v>
      </c>
      <c r="C55" s="3" t="str">
        <f t="shared" si="1"/>
        <v>III. Agire | Domanda 3.6.6</v>
      </c>
      <c r="D55" s="4" t="s">
        <v>31</v>
      </c>
      <c r="E55" s="5" t="s">
        <v>160</v>
      </c>
      <c r="F55" s="3" t="s">
        <v>129</v>
      </c>
      <c r="G55" s="25"/>
      <c r="H55" s="4" t="b">
        <v>0</v>
      </c>
      <c r="I55" s="4">
        <v>1</v>
      </c>
      <c r="J55" s="4"/>
      <c r="K55" s="4"/>
      <c r="L55" s="3"/>
      <c r="M55" s="4" t="b">
        <v>0</v>
      </c>
      <c r="N55" s="4"/>
    </row>
    <row r="56" spans="1:14" ht="64">
      <c r="A56" s="9" t="s">
        <v>161</v>
      </c>
      <c r="B56" s="3" t="str">
        <f t="shared" si="0"/>
        <v>assessment-3.6.7</v>
      </c>
      <c r="C56" s="3" t="str">
        <f t="shared" si="1"/>
        <v>III. Agire | Domanda 3.6.7</v>
      </c>
      <c r="D56" s="4" t="s">
        <v>31</v>
      </c>
      <c r="E56" s="5" t="s">
        <v>162</v>
      </c>
      <c r="F56" s="3" t="s">
        <v>129</v>
      </c>
      <c r="G56" s="25"/>
      <c r="H56" s="4" t="b">
        <v>0</v>
      </c>
      <c r="I56" s="4">
        <v>1</v>
      </c>
      <c r="J56" s="4"/>
      <c r="K56" s="4"/>
      <c r="L56" s="3"/>
      <c r="M56" s="4" t="b">
        <v>0</v>
      </c>
      <c r="N56" s="4"/>
    </row>
    <row r="57" spans="1:14" ht="78.75" customHeight="1">
      <c r="A57" s="14" t="s">
        <v>163</v>
      </c>
      <c r="B57" s="17" t="str">
        <f t="shared" si="0"/>
        <v>assessment-3.6.8</v>
      </c>
      <c r="C57" s="17" t="str">
        <f t="shared" si="1"/>
        <v>III. Agire | Domanda 3.6.8</v>
      </c>
      <c r="D57" s="15" t="s">
        <v>31</v>
      </c>
      <c r="E57" s="18" t="s">
        <v>164</v>
      </c>
      <c r="F57" s="17" t="s">
        <v>129</v>
      </c>
      <c r="G57" s="25"/>
      <c r="H57" s="15" t="b">
        <v>0</v>
      </c>
      <c r="I57" s="15">
        <v>1</v>
      </c>
      <c r="J57" s="15"/>
      <c r="K57" s="15"/>
      <c r="L57" s="17"/>
      <c r="M57" s="15" t="b">
        <v>1</v>
      </c>
      <c r="N57" s="19"/>
    </row>
    <row r="58" spans="1:14" ht="48">
      <c r="A58" s="9" t="s">
        <v>165</v>
      </c>
      <c r="B58" s="3" t="str">
        <f t="shared" si="0"/>
        <v>assessment-3.7.1</v>
      </c>
      <c r="C58" s="3" t="str">
        <f t="shared" si="1"/>
        <v>III. Agire | Domanda 3.7.1</v>
      </c>
      <c r="D58" s="4" t="s">
        <v>31</v>
      </c>
      <c r="E58" s="5" t="s">
        <v>166</v>
      </c>
      <c r="F58" s="3" t="s">
        <v>129</v>
      </c>
      <c r="G58" s="25"/>
      <c r="H58" s="4" t="b">
        <v>0</v>
      </c>
      <c r="I58" s="4">
        <v>1</v>
      </c>
      <c r="J58" s="4"/>
      <c r="K58" s="4"/>
      <c r="L58" s="3"/>
      <c r="M58" s="4" t="b">
        <v>0</v>
      </c>
      <c r="N58" s="4"/>
    </row>
    <row r="59" spans="1:14" ht="32">
      <c r="A59" s="9" t="s">
        <v>167</v>
      </c>
      <c r="B59" s="3" t="str">
        <f t="shared" si="0"/>
        <v>assessment-3.7.2</v>
      </c>
      <c r="C59" s="3" t="str">
        <f t="shared" si="1"/>
        <v>III. Agire | Domanda 3.7.2</v>
      </c>
      <c r="D59" s="4" t="s">
        <v>31</v>
      </c>
      <c r="E59" s="5" t="s">
        <v>168</v>
      </c>
      <c r="F59" s="3" t="s">
        <v>129</v>
      </c>
      <c r="G59" s="25"/>
      <c r="H59" s="4" t="b">
        <v>0</v>
      </c>
      <c r="I59" s="4">
        <v>1</v>
      </c>
      <c r="J59" s="4"/>
      <c r="K59" s="4"/>
      <c r="L59" s="3"/>
      <c r="M59" s="4" t="b">
        <v>0</v>
      </c>
      <c r="N59" s="4"/>
    </row>
    <row r="60" spans="1:14" ht="48">
      <c r="A60" s="9" t="s">
        <v>169</v>
      </c>
      <c r="B60" s="3" t="str">
        <f t="shared" si="0"/>
        <v>assessment-3.7.3</v>
      </c>
      <c r="C60" s="3" t="str">
        <f t="shared" si="1"/>
        <v>III. Agire | Domanda 3.7.3</v>
      </c>
      <c r="D60" s="4" t="s">
        <v>31</v>
      </c>
      <c r="E60" s="5" t="s">
        <v>170</v>
      </c>
      <c r="F60" s="3" t="s">
        <v>129</v>
      </c>
      <c r="G60" s="25"/>
      <c r="H60" s="4" t="b">
        <v>0</v>
      </c>
      <c r="I60" s="4">
        <v>1</v>
      </c>
      <c r="J60" s="4"/>
      <c r="K60" s="4"/>
      <c r="L60" s="3"/>
      <c r="M60" s="4" t="b">
        <v>0</v>
      </c>
      <c r="N60" s="4"/>
    </row>
    <row r="61" spans="1:14" ht="48">
      <c r="A61" s="9" t="s">
        <v>171</v>
      </c>
      <c r="B61" s="3" t="str">
        <f t="shared" si="0"/>
        <v>assessment-3.7.4</v>
      </c>
      <c r="C61" s="3" t="str">
        <f t="shared" si="1"/>
        <v>III. Agire | Domanda 3.7.4</v>
      </c>
      <c r="D61" s="4" t="s">
        <v>31</v>
      </c>
      <c r="E61" s="5" t="s">
        <v>172</v>
      </c>
      <c r="F61" s="3" t="s">
        <v>129</v>
      </c>
      <c r="G61" s="25"/>
      <c r="H61" s="4" t="b">
        <v>0</v>
      </c>
      <c r="I61" s="4">
        <v>1</v>
      </c>
      <c r="J61" s="4"/>
      <c r="K61" s="4"/>
      <c r="L61" s="3"/>
      <c r="M61" s="4" t="b">
        <v>0</v>
      </c>
      <c r="N61" s="4"/>
    </row>
    <row r="62" spans="1:14" ht="32">
      <c r="A62" s="9" t="s">
        <v>173</v>
      </c>
      <c r="B62" s="3" t="str">
        <f t="shared" si="0"/>
        <v>assessment-3.8.1</v>
      </c>
      <c r="C62" s="3" t="str">
        <f t="shared" si="1"/>
        <v>III. Agire | Domanda 3.8.1</v>
      </c>
      <c r="D62" s="4" t="s">
        <v>31</v>
      </c>
      <c r="E62" s="5" t="s">
        <v>174</v>
      </c>
      <c r="F62" s="3" t="s">
        <v>129</v>
      </c>
      <c r="G62" s="25"/>
      <c r="H62" s="4" t="b">
        <v>0</v>
      </c>
      <c r="I62" s="4">
        <v>1</v>
      </c>
      <c r="J62" s="4"/>
      <c r="K62" s="4"/>
      <c r="L62" s="3"/>
      <c r="M62" s="4" t="b">
        <v>0</v>
      </c>
      <c r="N62" s="4"/>
    </row>
    <row r="63" spans="1:14" ht="32">
      <c r="A63" s="9" t="s">
        <v>175</v>
      </c>
      <c r="B63" s="3" t="str">
        <f t="shared" si="0"/>
        <v>assessment-3.8.2</v>
      </c>
      <c r="C63" s="3" t="str">
        <f t="shared" si="1"/>
        <v>III. Agire | Domanda 3.8.2</v>
      </c>
      <c r="D63" s="4" t="s">
        <v>31</v>
      </c>
      <c r="E63" s="5" t="s">
        <v>176</v>
      </c>
      <c r="F63" s="3" t="s">
        <v>129</v>
      </c>
      <c r="G63" s="25"/>
      <c r="H63" s="4" t="b">
        <v>0</v>
      </c>
      <c r="I63" s="4">
        <v>1</v>
      </c>
      <c r="J63" s="4"/>
      <c r="K63" s="4"/>
      <c r="L63" s="3"/>
      <c r="M63" s="4" t="b">
        <v>0</v>
      </c>
      <c r="N63" s="4"/>
    </row>
    <row r="64" spans="1:14" ht="32">
      <c r="A64" s="9" t="s">
        <v>177</v>
      </c>
      <c r="B64" s="3" t="str">
        <f t="shared" si="0"/>
        <v>assessment-3.8.3</v>
      </c>
      <c r="C64" s="3" t="str">
        <f t="shared" si="1"/>
        <v>III. Agire | Domanda 3.8.3</v>
      </c>
      <c r="D64" s="4" t="s">
        <v>31</v>
      </c>
      <c r="E64" s="5" t="s">
        <v>178</v>
      </c>
      <c r="F64" s="3" t="s">
        <v>129</v>
      </c>
      <c r="G64" s="25"/>
      <c r="H64" s="4" t="b">
        <v>0</v>
      </c>
      <c r="I64" s="4">
        <v>1</v>
      </c>
      <c r="J64" s="4"/>
      <c r="K64" s="4"/>
      <c r="L64" s="3"/>
      <c r="M64" s="4" t="b">
        <v>0</v>
      </c>
      <c r="N64" s="4"/>
    </row>
    <row r="65" spans="1:14" ht="48">
      <c r="A65" s="9" t="s">
        <v>179</v>
      </c>
      <c r="B65" s="3" t="str">
        <f t="shared" si="0"/>
        <v>assessment-3.9.1</v>
      </c>
      <c r="C65" s="3" t="str">
        <f t="shared" si="1"/>
        <v>III. Agire | Domanda 3.9.1</v>
      </c>
      <c r="D65" s="4" t="s">
        <v>31</v>
      </c>
      <c r="E65" s="5" t="s">
        <v>180</v>
      </c>
      <c r="F65" s="3" t="s">
        <v>129</v>
      </c>
      <c r="G65" s="25"/>
      <c r="H65" s="4" t="b">
        <v>0</v>
      </c>
      <c r="I65" s="4">
        <v>1</v>
      </c>
      <c r="J65" s="4"/>
      <c r="K65" s="4"/>
      <c r="L65" s="3"/>
      <c r="M65" s="4" t="b">
        <v>0</v>
      </c>
      <c r="N65" s="4"/>
    </row>
    <row r="66" spans="1:14" ht="32">
      <c r="A66" s="9" t="s">
        <v>181</v>
      </c>
      <c r="B66" s="3" t="str">
        <f t="shared" si="0"/>
        <v>assessment-3.9.2</v>
      </c>
      <c r="C66" s="3" t="str">
        <f t="shared" si="1"/>
        <v>III. Agire | Domanda 3.9.2</v>
      </c>
      <c r="D66" s="4" t="s">
        <v>31</v>
      </c>
      <c r="E66" s="5" t="s">
        <v>182</v>
      </c>
      <c r="F66" s="3" t="s">
        <v>129</v>
      </c>
      <c r="G66" s="25"/>
      <c r="H66" s="4" t="b">
        <v>0</v>
      </c>
      <c r="I66" s="4">
        <v>1</v>
      </c>
      <c r="J66" s="4"/>
      <c r="K66" s="4"/>
      <c r="L66" s="3"/>
      <c r="M66" s="4" t="b">
        <v>0</v>
      </c>
      <c r="N66" s="4"/>
    </row>
    <row r="67" spans="1:14" ht="64">
      <c r="A67" s="9" t="s">
        <v>183</v>
      </c>
      <c r="B67" s="3" t="str">
        <f t="shared" si="0"/>
        <v>assessment-3.9.3</v>
      </c>
      <c r="C67" s="3" t="str">
        <f t="shared" si="1"/>
        <v>III. Agire | Domanda 3.9.3</v>
      </c>
      <c r="D67" s="4" t="s">
        <v>31</v>
      </c>
      <c r="E67" s="5" t="s">
        <v>184</v>
      </c>
      <c r="F67" s="3" t="s">
        <v>129</v>
      </c>
      <c r="G67" s="25"/>
      <c r="H67" s="4" t="b">
        <v>0</v>
      </c>
      <c r="I67" s="4">
        <v>1</v>
      </c>
      <c r="J67" s="4"/>
      <c r="K67" s="4"/>
      <c r="L67" s="3"/>
      <c r="M67" s="4" t="b">
        <v>0</v>
      </c>
      <c r="N67" s="4"/>
    </row>
    <row r="68" spans="1:14" ht="96">
      <c r="A68" s="9" t="s">
        <v>185</v>
      </c>
      <c r="B68" s="3" t="str">
        <f t="shared" si="0"/>
        <v>assessment-3.9.4</v>
      </c>
      <c r="C68" s="3" t="str">
        <f t="shared" si="1"/>
        <v>III. Agire | Domanda 3.9.4</v>
      </c>
      <c r="D68" s="4" t="s">
        <v>31</v>
      </c>
      <c r="E68" s="5" t="s">
        <v>186</v>
      </c>
      <c r="F68" s="3" t="s">
        <v>129</v>
      </c>
      <c r="G68" s="25"/>
      <c r="H68" s="4" t="b">
        <v>0</v>
      </c>
      <c r="I68" s="4">
        <v>1</v>
      </c>
      <c r="J68" s="4" t="s">
        <v>187</v>
      </c>
      <c r="K68" s="4"/>
      <c r="L68" s="3"/>
      <c r="M68" s="4" t="b">
        <v>0</v>
      </c>
      <c r="N68" s="4"/>
    </row>
    <row r="69" spans="1:14" ht="48">
      <c r="A69" s="9" t="s">
        <v>188</v>
      </c>
      <c r="B69" s="3" t="str">
        <f t="shared" si="0"/>
        <v>assessment-3.9.5</v>
      </c>
      <c r="C69" s="3" t="str">
        <f t="shared" si="1"/>
        <v>III. Agire | Domanda 3.9.5</v>
      </c>
      <c r="D69" s="4" t="s">
        <v>31</v>
      </c>
      <c r="E69" s="5" t="s">
        <v>189</v>
      </c>
      <c r="F69" s="3" t="s">
        <v>129</v>
      </c>
      <c r="G69" s="25"/>
      <c r="H69" s="4" t="b">
        <v>0</v>
      </c>
      <c r="I69" s="4">
        <v>1</v>
      </c>
      <c r="J69" s="4"/>
      <c r="K69" s="4"/>
      <c r="L69" s="3"/>
      <c r="M69" s="4" t="b">
        <v>0</v>
      </c>
      <c r="N69" s="4"/>
    </row>
    <row r="70" spans="1:14" ht="48">
      <c r="A70" s="9" t="s">
        <v>190</v>
      </c>
      <c r="B70" s="3" t="str">
        <f t="shared" si="0"/>
        <v>assessment-3.9.6</v>
      </c>
      <c r="C70" s="3" t="str">
        <f t="shared" si="1"/>
        <v>III. Agire | Domanda 3.9.6</v>
      </c>
      <c r="D70" s="4" t="s">
        <v>31</v>
      </c>
      <c r="E70" s="5" t="s">
        <v>191</v>
      </c>
      <c r="F70" s="3" t="s">
        <v>129</v>
      </c>
      <c r="G70" s="25"/>
      <c r="H70" s="4" t="b">
        <v>0</v>
      </c>
      <c r="I70" s="4">
        <v>1</v>
      </c>
      <c r="J70" s="4"/>
      <c r="K70" s="4"/>
      <c r="L70" s="3"/>
      <c r="M70" s="4" t="b">
        <v>0</v>
      </c>
      <c r="N70" s="4"/>
    </row>
    <row r="71" spans="1:14" ht="48">
      <c r="A71" s="9" t="s">
        <v>192</v>
      </c>
      <c r="B71" s="3" t="str">
        <f t="shared" si="0"/>
        <v>assessment-3.9.7</v>
      </c>
      <c r="C71" s="3" t="str">
        <f t="shared" si="1"/>
        <v>III. Agire | Domanda 3.9.7</v>
      </c>
      <c r="D71" s="4" t="s">
        <v>31</v>
      </c>
      <c r="E71" s="5" t="s">
        <v>193</v>
      </c>
      <c r="F71" s="3" t="s">
        <v>129</v>
      </c>
      <c r="G71" s="25"/>
      <c r="H71" s="4" t="b">
        <v>0</v>
      </c>
      <c r="I71" s="4">
        <v>1</v>
      </c>
      <c r="J71" s="4"/>
      <c r="K71" s="4"/>
      <c r="L71" s="3"/>
      <c r="M71" s="4" t="b">
        <v>0</v>
      </c>
      <c r="N71" s="4"/>
    </row>
    <row r="72" spans="1:14" ht="96">
      <c r="A72" s="9" t="s">
        <v>194</v>
      </c>
      <c r="B72" s="3" t="str">
        <f t="shared" si="0"/>
        <v>assessment-3.10.1</v>
      </c>
      <c r="C72" s="3" t="str">
        <f t="shared" si="1"/>
        <v>III. Agire | Domanda 3.10.1</v>
      </c>
      <c r="D72" s="4" t="s">
        <v>31</v>
      </c>
      <c r="E72" s="5" t="s">
        <v>195</v>
      </c>
      <c r="F72" s="3" t="s">
        <v>129</v>
      </c>
      <c r="G72" s="25"/>
      <c r="H72" s="4" t="b">
        <v>0</v>
      </c>
      <c r="I72" s="4">
        <v>1</v>
      </c>
      <c r="J72" s="4" t="s">
        <v>196</v>
      </c>
      <c r="K72" s="4"/>
      <c r="L72" s="3"/>
      <c r="M72" s="4" t="b">
        <v>0</v>
      </c>
      <c r="N72" s="4"/>
    </row>
    <row r="73" spans="1:14" ht="48">
      <c r="A73" s="9" t="s">
        <v>197</v>
      </c>
      <c r="B73" s="3" t="str">
        <f t="shared" si="0"/>
        <v>assessment-3.10.2</v>
      </c>
      <c r="C73" s="3" t="str">
        <f t="shared" si="1"/>
        <v>III. Agire | Domanda 3.10.2</v>
      </c>
      <c r="D73" s="4" t="s">
        <v>31</v>
      </c>
      <c r="E73" s="5" t="s">
        <v>198</v>
      </c>
      <c r="F73" s="3" t="s">
        <v>129</v>
      </c>
      <c r="G73" s="25"/>
      <c r="H73" s="4" t="b">
        <v>0</v>
      </c>
      <c r="I73" s="4">
        <v>1</v>
      </c>
      <c r="J73" s="4"/>
      <c r="K73" s="4"/>
      <c r="L73" s="3"/>
      <c r="M73" s="4" t="b">
        <v>0</v>
      </c>
      <c r="N73" s="4"/>
    </row>
    <row r="74" spans="1:14" ht="48">
      <c r="A74" s="9" t="s">
        <v>199</v>
      </c>
      <c r="B74" s="3" t="str">
        <f t="shared" si="0"/>
        <v>assessment-3.10.3</v>
      </c>
      <c r="C74" s="3" t="str">
        <f t="shared" si="1"/>
        <v>III. Agire | Domanda 3.10.3</v>
      </c>
      <c r="D74" s="4" t="s">
        <v>31</v>
      </c>
      <c r="E74" s="5" t="s">
        <v>200</v>
      </c>
      <c r="F74" s="3" t="s">
        <v>129</v>
      </c>
      <c r="G74" s="26"/>
      <c r="H74" s="4" t="b">
        <v>0</v>
      </c>
      <c r="I74" s="4">
        <v>1</v>
      </c>
      <c r="J74" s="4"/>
      <c r="K74" s="4"/>
      <c r="L74" s="3"/>
      <c r="M74" s="4" t="b">
        <v>0</v>
      </c>
      <c r="N74" s="4"/>
    </row>
    <row r="75" spans="1:14" ht="96">
      <c r="A75" s="9" t="s">
        <v>201</v>
      </c>
      <c r="B75" s="3" t="str">
        <f t="shared" si="0"/>
        <v>assessment-3.10.4</v>
      </c>
      <c r="C75" s="3" t="str">
        <f t="shared" si="1"/>
        <v>III. Agire | Domanda 3.10.4</v>
      </c>
      <c r="D75" s="15" t="s">
        <v>31</v>
      </c>
      <c r="E75" s="20" t="s">
        <v>202</v>
      </c>
      <c r="F75" s="3" t="s">
        <v>129</v>
      </c>
      <c r="G75" s="27"/>
      <c r="H75" s="15" t="b">
        <v>0</v>
      </c>
      <c r="I75" s="16">
        <v>1</v>
      </c>
      <c r="J75" s="15" t="s">
        <v>203</v>
      </c>
      <c r="K75" s="15"/>
      <c r="L75" s="17"/>
      <c r="M75" s="15" t="b">
        <v>1</v>
      </c>
      <c r="N75" s="19"/>
    </row>
    <row r="76" spans="1:14" ht="96">
      <c r="A76" s="9" t="s">
        <v>204</v>
      </c>
      <c r="B76" s="3" t="str">
        <f t="shared" si="0"/>
        <v>assessment-3.10.5</v>
      </c>
      <c r="C76" s="3" t="str">
        <f t="shared" si="1"/>
        <v>III. Agire | Domanda 3.10.5</v>
      </c>
      <c r="D76" s="15" t="s">
        <v>31</v>
      </c>
      <c r="E76" s="20" t="s">
        <v>205</v>
      </c>
      <c r="F76" s="3" t="s">
        <v>129</v>
      </c>
      <c r="G76" s="25"/>
      <c r="H76" s="15" t="b">
        <v>0</v>
      </c>
      <c r="I76" s="16">
        <v>1</v>
      </c>
      <c r="J76" s="15" t="s">
        <v>206</v>
      </c>
      <c r="K76" s="15"/>
      <c r="L76" s="17"/>
      <c r="M76" s="15" t="b">
        <v>1</v>
      </c>
      <c r="N76" s="15"/>
    </row>
    <row r="77" spans="1:14" ht="112">
      <c r="A77" s="9" t="s">
        <v>207</v>
      </c>
      <c r="B77" s="3" t="str">
        <f t="shared" si="0"/>
        <v>assessment-3.10.6</v>
      </c>
      <c r="C77" s="3" t="str">
        <f t="shared" si="1"/>
        <v>III. Agire | Domanda 3.10.6</v>
      </c>
      <c r="D77" s="15" t="s">
        <v>31</v>
      </c>
      <c r="E77" s="20" t="s">
        <v>208</v>
      </c>
      <c r="F77" s="3" t="s">
        <v>129</v>
      </c>
      <c r="G77" s="25"/>
      <c r="H77" s="15" t="b">
        <v>0</v>
      </c>
      <c r="I77" s="16">
        <v>1</v>
      </c>
      <c r="J77" s="15" t="s">
        <v>209</v>
      </c>
      <c r="K77" s="15"/>
      <c r="L77" s="17"/>
      <c r="M77" s="15" t="b">
        <v>1</v>
      </c>
      <c r="N77" s="15"/>
    </row>
    <row r="78" spans="1:14" ht="64">
      <c r="A78" s="9" t="s">
        <v>63</v>
      </c>
      <c r="B78" s="3" t="str">
        <f t="shared" si="0"/>
        <v>assessment-4.1</v>
      </c>
      <c r="C78" s="3" t="str">
        <f t="shared" si="1"/>
        <v>IV. Monitorare | Domanda 4.1</v>
      </c>
      <c r="D78" s="4" t="s">
        <v>31</v>
      </c>
      <c r="E78" s="5" t="s">
        <v>210</v>
      </c>
      <c r="F78" s="3" t="s">
        <v>211</v>
      </c>
      <c r="G78" s="25"/>
      <c r="H78" s="4" t="b">
        <v>0</v>
      </c>
      <c r="I78" s="4">
        <v>1</v>
      </c>
      <c r="J78" s="4"/>
      <c r="K78" s="4"/>
      <c r="L78" s="3"/>
      <c r="M78" s="4" t="b">
        <v>0</v>
      </c>
      <c r="N78" s="2"/>
    </row>
    <row r="79" spans="1:14" ht="176">
      <c r="A79" s="9" t="s">
        <v>66</v>
      </c>
      <c r="B79" s="3" t="str">
        <f t="shared" si="0"/>
        <v>assessment-4.2</v>
      </c>
      <c r="C79" s="3" t="str">
        <f t="shared" si="1"/>
        <v>IV. Monitorare | Domanda 4.2</v>
      </c>
      <c r="D79" s="4" t="s">
        <v>31</v>
      </c>
      <c r="E79" s="5" t="s">
        <v>212</v>
      </c>
      <c r="F79" s="3" t="s">
        <v>211</v>
      </c>
      <c r="G79" s="26"/>
      <c r="H79" s="4" t="b">
        <v>0</v>
      </c>
      <c r="I79" s="4">
        <v>1</v>
      </c>
      <c r="J79" s="4" t="s">
        <v>213</v>
      </c>
      <c r="K79" s="4"/>
      <c r="L79" s="3"/>
      <c r="M79" s="4" t="b">
        <v>0</v>
      </c>
      <c r="N79" s="4"/>
    </row>
    <row r="80" spans="1:14" ht="32">
      <c r="A80" s="9" t="s">
        <v>73</v>
      </c>
      <c r="B80" s="3" t="str">
        <f t="shared" si="0"/>
        <v>assessment-5.1</v>
      </c>
      <c r="C80" s="3" t="str">
        <f t="shared" si="1"/>
        <v>V. Comunicare | Domanda 5.1</v>
      </c>
      <c r="D80" s="4" t="s">
        <v>31</v>
      </c>
      <c r="E80" s="5" t="s">
        <v>214</v>
      </c>
      <c r="F80" s="3" t="s">
        <v>215</v>
      </c>
      <c r="G80" s="24" t="s">
        <v>216</v>
      </c>
      <c r="H80" s="4" t="b">
        <v>0</v>
      </c>
      <c r="I80" s="4">
        <v>1</v>
      </c>
      <c r="J80" s="4"/>
      <c r="K80" s="4"/>
      <c r="L80" s="3"/>
      <c r="M80" s="4" t="b">
        <v>0</v>
      </c>
      <c r="N80" s="13"/>
    </row>
    <row r="81" spans="1:14" ht="32">
      <c r="A81" s="9" t="s">
        <v>77</v>
      </c>
      <c r="B81" s="3" t="str">
        <f t="shared" si="0"/>
        <v>assessment-5.2</v>
      </c>
      <c r="C81" s="3" t="str">
        <f t="shared" si="1"/>
        <v>V. Comunicare | Domanda 5.2</v>
      </c>
      <c r="D81" s="4" t="s">
        <v>31</v>
      </c>
      <c r="E81" s="5" t="s">
        <v>217</v>
      </c>
      <c r="F81" s="3" t="s">
        <v>215</v>
      </c>
      <c r="G81" s="25"/>
      <c r="H81" s="4" t="b">
        <v>0</v>
      </c>
      <c r="I81" s="4">
        <v>1</v>
      </c>
      <c r="J81" s="4"/>
      <c r="K81" s="4"/>
      <c r="L81" s="3"/>
      <c r="M81" s="4" t="b">
        <v>0</v>
      </c>
      <c r="N81" s="4"/>
    </row>
    <row r="82" spans="1:14" ht="32">
      <c r="A82" s="9" t="s">
        <v>218</v>
      </c>
      <c r="B82" s="3" t="str">
        <f t="shared" si="0"/>
        <v>assessment-5.3</v>
      </c>
      <c r="C82" s="3" t="str">
        <f t="shared" si="1"/>
        <v>V. Comunicare | Domanda 5.3</v>
      </c>
      <c r="D82" s="4" t="s">
        <v>43</v>
      </c>
      <c r="E82" s="5" t="s">
        <v>219</v>
      </c>
      <c r="F82" s="3" t="s">
        <v>215</v>
      </c>
      <c r="G82" s="25"/>
      <c r="H82" s="4" t="b">
        <v>0</v>
      </c>
      <c r="I82" s="4">
        <v>1</v>
      </c>
      <c r="J82" s="4"/>
      <c r="K82" s="4" t="s">
        <v>220</v>
      </c>
      <c r="L82" s="3"/>
      <c r="M82" s="4" t="b">
        <v>0</v>
      </c>
      <c r="N82" s="4"/>
    </row>
    <row r="83" spans="1:14" ht="32">
      <c r="A83" s="9" t="s">
        <v>221</v>
      </c>
      <c r="B83" s="3" t="str">
        <f t="shared" si="0"/>
        <v>assessment-5.3.1</v>
      </c>
      <c r="C83" s="3" t="str">
        <f t="shared" si="1"/>
        <v>V. Comunicare | Domanda 5.3.1</v>
      </c>
      <c r="D83" s="4" t="s">
        <v>31</v>
      </c>
      <c r="E83" s="5" t="s">
        <v>222</v>
      </c>
      <c r="F83" s="3" t="s">
        <v>215</v>
      </c>
      <c r="G83" s="25"/>
      <c r="H83" s="4" t="b">
        <v>0</v>
      </c>
      <c r="I83" s="4">
        <v>1</v>
      </c>
      <c r="J83" s="4"/>
      <c r="K83" s="4"/>
      <c r="L83" s="3"/>
      <c r="M83" s="4" t="b">
        <v>0</v>
      </c>
      <c r="N83" s="4" t="s">
        <v>223</v>
      </c>
    </row>
    <row r="84" spans="1:14" ht="64">
      <c r="A84" s="9" t="s">
        <v>224</v>
      </c>
      <c r="B84" s="3" t="str">
        <f t="shared" si="0"/>
        <v>assessment-5.3.2</v>
      </c>
      <c r="C84" s="3" t="str">
        <f t="shared" si="1"/>
        <v>V. Comunicare | Domanda 5.3.2</v>
      </c>
      <c r="D84" s="4" t="s">
        <v>31</v>
      </c>
      <c r="E84" s="5" t="s">
        <v>225</v>
      </c>
      <c r="F84" s="3" t="s">
        <v>215</v>
      </c>
      <c r="G84" s="25"/>
      <c r="H84" s="4" t="b">
        <v>0</v>
      </c>
      <c r="I84" s="4">
        <v>1</v>
      </c>
      <c r="J84" s="4" t="s">
        <v>226</v>
      </c>
      <c r="K84" s="4"/>
      <c r="L84" s="3"/>
      <c r="M84" s="4" t="b">
        <v>0</v>
      </c>
      <c r="N84" s="4" t="s">
        <v>223</v>
      </c>
    </row>
    <row r="85" spans="1:14" ht="64">
      <c r="A85" s="9" t="s">
        <v>227</v>
      </c>
      <c r="B85" s="3" t="str">
        <f t="shared" si="0"/>
        <v>assessment-5.3.3</v>
      </c>
      <c r="C85" s="3" t="str">
        <f t="shared" si="1"/>
        <v>V. Comunicare | Domanda 5.3.3</v>
      </c>
      <c r="D85" s="4" t="s">
        <v>31</v>
      </c>
      <c r="E85" s="5" t="s">
        <v>228</v>
      </c>
      <c r="F85" s="3" t="s">
        <v>215</v>
      </c>
      <c r="G85" s="25"/>
      <c r="H85" s="4" t="b">
        <v>0</v>
      </c>
      <c r="I85" s="4">
        <v>1</v>
      </c>
      <c r="J85" s="4"/>
      <c r="K85" s="4" t="s">
        <v>229</v>
      </c>
      <c r="L85" s="3"/>
      <c r="M85" s="4" t="b">
        <v>0</v>
      </c>
      <c r="N85" s="4" t="s">
        <v>223</v>
      </c>
    </row>
    <row r="86" spans="1:14" ht="112">
      <c r="A86" s="9" t="s">
        <v>230</v>
      </c>
      <c r="B86" s="3" t="str">
        <f t="shared" si="0"/>
        <v>assessment-5.3.4</v>
      </c>
      <c r="C86" s="3" t="str">
        <f t="shared" si="1"/>
        <v>V. Comunicare | Domanda 5.3.4</v>
      </c>
      <c r="D86" s="4" t="s">
        <v>31</v>
      </c>
      <c r="E86" s="5" t="s">
        <v>231</v>
      </c>
      <c r="F86" s="3" t="s">
        <v>215</v>
      </c>
      <c r="G86" s="26"/>
      <c r="H86" s="4" t="b">
        <v>0</v>
      </c>
      <c r="I86" s="4">
        <v>1</v>
      </c>
      <c r="J86" s="4"/>
      <c r="K86" s="4"/>
      <c r="L86" s="3"/>
      <c r="M86" s="4" t="b">
        <v>0</v>
      </c>
      <c r="N86" s="4" t="s">
        <v>223</v>
      </c>
    </row>
    <row r="87" spans="1:14" ht="149.25" customHeight="1">
      <c r="A87" s="9" t="s">
        <v>81</v>
      </c>
      <c r="B87" s="3" t="str">
        <f t="shared" si="0"/>
        <v>assessment-6.1</v>
      </c>
      <c r="C87" s="3" t="str">
        <f t="shared" si="1"/>
        <v>VI. Rimediare | Domanda 6.1</v>
      </c>
      <c r="D87" s="4" t="s">
        <v>31</v>
      </c>
      <c r="E87" s="5" t="s">
        <v>232</v>
      </c>
      <c r="F87" s="3" t="s">
        <v>233</v>
      </c>
      <c r="G87" s="24" t="s">
        <v>234</v>
      </c>
      <c r="H87" s="4" t="b">
        <v>0</v>
      </c>
      <c r="I87" s="4">
        <v>1</v>
      </c>
      <c r="J87" s="4" t="s">
        <v>235</v>
      </c>
      <c r="K87" s="21" t="s">
        <v>236</v>
      </c>
      <c r="L87" s="22" t="s">
        <v>237</v>
      </c>
      <c r="M87" s="4" t="b">
        <v>0</v>
      </c>
      <c r="N87" s="2"/>
    </row>
    <row r="88" spans="1:14" ht="64">
      <c r="A88" s="9" t="s">
        <v>84</v>
      </c>
      <c r="B88" s="3" t="str">
        <f t="shared" si="0"/>
        <v>assessment-6.2</v>
      </c>
      <c r="C88" s="3" t="str">
        <f t="shared" si="1"/>
        <v>VI. Rimediare | Domanda 6.2</v>
      </c>
      <c r="D88" s="4" t="s">
        <v>31</v>
      </c>
      <c r="E88" s="5" t="s">
        <v>238</v>
      </c>
      <c r="F88" s="3" t="s">
        <v>233</v>
      </c>
      <c r="G88" s="25"/>
      <c r="H88" s="4" t="b">
        <v>0</v>
      </c>
      <c r="I88" s="4">
        <v>1</v>
      </c>
      <c r="J88" s="11"/>
      <c r="K88" s="4"/>
      <c r="L88" s="3"/>
      <c r="M88" s="4" t="b">
        <v>0</v>
      </c>
      <c r="N88" s="4"/>
    </row>
    <row r="89" spans="1:14" ht="192">
      <c r="A89" s="9" t="s">
        <v>87</v>
      </c>
      <c r="B89" s="3" t="str">
        <f t="shared" si="0"/>
        <v>assessment-6.3</v>
      </c>
      <c r="C89" s="3" t="str">
        <f t="shared" si="1"/>
        <v>VI. Rimediare | Domanda 6.3</v>
      </c>
      <c r="D89" s="4" t="s">
        <v>31</v>
      </c>
      <c r="E89" s="5" t="s">
        <v>239</v>
      </c>
      <c r="F89" s="3" t="s">
        <v>233</v>
      </c>
      <c r="G89" s="25"/>
      <c r="H89" s="4" t="b">
        <v>0</v>
      </c>
      <c r="I89" s="4">
        <v>1</v>
      </c>
      <c r="J89" s="12" t="s">
        <v>240</v>
      </c>
      <c r="K89" s="4"/>
      <c r="L89" s="3"/>
      <c r="M89" s="4" t="b">
        <v>0</v>
      </c>
      <c r="N89" s="4"/>
    </row>
    <row r="90" spans="1:14" ht="48">
      <c r="A90" s="9" t="s">
        <v>90</v>
      </c>
      <c r="B90" s="3" t="str">
        <f t="shared" si="0"/>
        <v>assessment-6.4</v>
      </c>
      <c r="C90" s="3" t="str">
        <f t="shared" si="1"/>
        <v>VI. Rimediare | Domanda 6.4</v>
      </c>
      <c r="D90" s="4" t="s">
        <v>31</v>
      </c>
      <c r="E90" s="5" t="s">
        <v>241</v>
      </c>
      <c r="F90" s="3" t="s">
        <v>233</v>
      </c>
      <c r="G90" s="25"/>
      <c r="H90" s="4" t="b">
        <v>0</v>
      </c>
      <c r="I90" s="4">
        <v>1</v>
      </c>
      <c r="J90" s="11"/>
      <c r="K90" s="4"/>
      <c r="L90" s="3"/>
      <c r="M90" s="4" t="b">
        <v>0</v>
      </c>
      <c r="N90" s="4"/>
    </row>
    <row r="91" spans="1:14" ht="48">
      <c r="A91" s="9" t="s">
        <v>93</v>
      </c>
      <c r="B91" s="3" t="str">
        <f t="shared" si="0"/>
        <v>assessment-6.5</v>
      </c>
      <c r="C91" s="3" t="str">
        <f t="shared" si="1"/>
        <v>VI. Rimediare | Domanda 6.5</v>
      </c>
      <c r="D91" s="4" t="s">
        <v>31</v>
      </c>
      <c r="E91" s="5" t="s">
        <v>242</v>
      </c>
      <c r="F91" s="3" t="s">
        <v>233</v>
      </c>
      <c r="G91" s="26"/>
      <c r="H91" s="4" t="b">
        <v>0</v>
      </c>
      <c r="I91" s="4">
        <v>1</v>
      </c>
      <c r="J91" s="4"/>
      <c r="K91" s="4" t="s">
        <v>236</v>
      </c>
      <c r="L91" s="3"/>
      <c r="M91" s="4" t="b">
        <v>0</v>
      </c>
      <c r="N91" s="4"/>
    </row>
    <row r="92" spans="1:14" ht="48">
      <c r="A92" s="23" t="s">
        <v>243</v>
      </c>
      <c r="B92" s="3" t="str">
        <f t="shared" si="0"/>
        <v>assessment-6.6</v>
      </c>
      <c r="C92" s="3" t="str">
        <f t="shared" si="1"/>
        <v>VI. Rimediare | Domanda 6.6</v>
      </c>
      <c r="D92" s="4" t="s">
        <v>31</v>
      </c>
      <c r="E92" s="5" t="s">
        <v>244</v>
      </c>
      <c r="F92" s="3" t="s">
        <v>233</v>
      </c>
      <c r="G92" s="22"/>
      <c r="H92" s="4" t="b">
        <v>0</v>
      </c>
      <c r="I92" s="4">
        <v>1</v>
      </c>
      <c r="J92" s="22"/>
      <c r="K92" s="22"/>
      <c r="L92" s="6"/>
      <c r="M92" s="4" t="b">
        <v>0</v>
      </c>
      <c r="N92" s="22"/>
    </row>
  </sheetData>
  <mergeCells count="6">
    <mergeCell ref="G87:G91"/>
    <mergeCell ref="G9:G24"/>
    <mergeCell ref="G27:G39"/>
    <mergeCell ref="G40:G74"/>
    <mergeCell ref="G75:G79"/>
    <mergeCell ref="G80:G86"/>
  </mergeCells>
  <dataValidations count="1">
    <dataValidation type="list" allowBlank="1" showErrorMessage="1" sqref="F2:F92" xr:uid="{00000000-0002-0000-0000-000002000000}">
      <formula1>"Anagrafica,I. Impegnarsi,II. Valutare,III. Agire,IV. Monitorare,V. Comunicare,VI. Rimediare"</formula1>
    </dataValidation>
  </dataValidations>
  <hyperlinks>
    <hyperlink ref="L10" r:id="rId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Piovesan</cp:lastModifiedBy>
  <dcterms:modified xsi:type="dcterms:W3CDTF">2025-08-28T15:23:12Z</dcterms:modified>
</cp:coreProperties>
</file>